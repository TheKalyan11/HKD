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alya\Downloads\"/>
    </mc:Choice>
  </mc:AlternateContent>
  <xr:revisionPtr revIDLastSave="0" documentId="8_{57DBD3FE-35C3-46BA-8909-09644048B0F3}" xr6:coauthVersionLast="47" xr6:coauthVersionMax="47" xr10:uidLastSave="{00000000-0000-0000-0000-000000000000}"/>
  <bookViews>
    <workbookView xWindow="28680" yWindow="-120" windowWidth="29040" windowHeight="15720" firstSheet="3" activeTab="8" xr2:uid="{58290A0F-84DF-4863-BD66-84A71428D419}"/>
  </bookViews>
  <sheets>
    <sheet name="exp JAN " sheetId="1" r:id="rId1"/>
    <sheet name="JAN atten" sheetId="2" r:id="rId2"/>
    <sheet name="feb atten" sheetId="3" r:id="rId3"/>
    <sheet name="Feb Exp" sheetId="5" r:id="rId4"/>
    <sheet name="Mar Attendance" sheetId="7" r:id="rId5"/>
    <sheet name=" March expensive " sheetId="9" r:id="rId6"/>
    <sheet name="Sheet1" sheetId="10" r:id="rId7"/>
    <sheet name="April 26 Expensive" sheetId="11" r:id="rId8"/>
    <sheet name="Sheet2" sheetId="13" r:id="rId9"/>
    <sheet name="may 26 Expensive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2" i="13" l="1"/>
  <c r="G33" i="13"/>
  <c r="G34" i="13"/>
  <c r="G35" i="13"/>
  <c r="G32" i="13"/>
  <c r="G24" i="13"/>
  <c r="G17" i="13"/>
  <c r="G9" i="13"/>
  <c r="G10" i="13"/>
  <c r="G11" i="13"/>
  <c r="G31" i="13"/>
  <c r="G30" i="13"/>
  <c r="G29" i="13"/>
  <c r="G28" i="13"/>
  <c r="G27" i="13"/>
  <c r="G25" i="13"/>
  <c r="G23" i="13"/>
  <c r="G21" i="13"/>
  <c r="G20" i="13"/>
  <c r="G19" i="13"/>
  <c r="G18" i="13"/>
  <c r="G14" i="13"/>
  <c r="G13" i="13"/>
  <c r="G12" i="13"/>
  <c r="G8" i="13"/>
  <c r="G7" i="13"/>
  <c r="G6" i="13"/>
  <c r="G7" i="11"/>
  <c r="G8" i="11"/>
  <c r="G11" i="11"/>
  <c r="G12" i="11"/>
  <c r="G13" i="11"/>
  <c r="G14" i="11"/>
  <c r="G15" i="11"/>
  <c r="G16" i="11"/>
  <c r="G18" i="11"/>
  <c r="G19" i="11"/>
  <c r="G20" i="11"/>
  <c r="G21" i="11"/>
  <c r="G22" i="11"/>
  <c r="G23" i="11"/>
  <c r="G25" i="11"/>
  <c r="G26" i="11"/>
  <c r="G27" i="11"/>
  <c r="G28" i="11"/>
  <c r="G29" i="11"/>
  <c r="G30" i="11"/>
  <c r="G31" i="11"/>
  <c r="G32" i="11"/>
  <c r="G33" i="11"/>
  <c r="G34" i="11"/>
  <c r="G35" i="11"/>
  <c r="G6" i="11"/>
  <c r="G30" i="9"/>
  <c r="G31" i="9"/>
  <c r="G32" i="9"/>
  <c r="G33" i="9"/>
  <c r="G34" i="9"/>
  <c r="G36" i="9"/>
  <c r="G37" i="9"/>
  <c r="G22" i="9"/>
  <c r="G15" i="9"/>
  <c r="G14" i="9"/>
  <c r="G29" i="9"/>
  <c r="G27" i="9"/>
  <c r="G26" i="9"/>
  <c r="G24" i="9"/>
  <c r="G23" i="9"/>
  <c r="G20" i="9"/>
  <c r="G19" i="9"/>
  <c r="G18" i="9"/>
  <c r="G17" i="9"/>
  <c r="G16" i="9"/>
  <c r="G13" i="9"/>
  <c r="G12" i="9"/>
  <c r="G11" i="9"/>
  <c r="G10" i="9"/>
  <c r="G9" i="9"/>
  <c r="G8" i="9"/>
  <c r="G38" i="5"/>
  <c r="G36" i="5"/>
  <c r="G10" i="5"/>
  <c r="G11" i="5"/>
  <c r="G12" i="5"/>
  <c r="G13" i="5"/>
  <c r="G16" i="5"/>
  <c r="G17" i="5"/>
  <c r="G18" i="5"/>
  <c r="G19" i="5"/>
  <c r="G20" i="5"/>
  <c r="G21" i="5"/>
  <c r="G23" i="5"/>
  <c r="G24" i="5"/>
  <c r="G25" i="5"/>
  <c r="G26" i="5"/>
  <c r="G27" i="5"/>
  <c r="G29" i="5"/>
  <c r="G32" i="5"/>
  <c r="G33" i="5"/>
  <c r="G34" i="5"/>
  <c r="G9" i="5"/>
  <c r="G8" i="5"/>
  <c r="G39" i="1"/>
  <c r="G8" i="1"/>
  <c r="G9" i="1"/>
  <c r="G12" i="1"/>
  <c r="G13" i="1"/>
  <c r="G14" i="1"/>
  <c r="G15" i="1"/>
  <c r="G16" i="1"/>
  <c r="G18" i="1"/>
  <c r="G19" i="1"/>
  <c r="G20" i="1"/>
  <c r="G22" i="1"/>
  <c r="G23" i="1"/>
  <c r="G25" i="1"/>
  <c r="G26" i="1"/>
  <c r="G27" i="1"/>
  <c r="G28" i="1"/>
  <c r="G29" i="1"/>
  <c r="G30" i="1"/>
  <c r="G31" i="1"/>
  <c r="G33" i="1"/>
  <c r="G34" i="1"/>
  <c r="G35" i="1"/>
  <c r="G36" i="1"/>
  <c r="G37" i="1"/>
  <c r="G7" i="1"/>
  <c r="G40" i="13" l="1"/>
  <c r="G37" i="11"/>
  <c r="G39" i="11" s="1"/>
  <c r="G39" i="9"/>
  <c r="G41" i="9" s="1"/>
  <c r="G41" i="1"/>
</calcChain>
</file>

<file path=xl/sharedStrings.xml><?xml version="1.0" encoding="utf-8"?>
<sst xmlns="http://schemas.openxmlformats.org/spreadsheetml/2006/main" count="968" uniqueCount="101">
  <si>
    <t>LB Nagar (Home )</t>
  </si>
  <si>
    <t>NewAtom ( Chitiyala)</t>
  </si>
  <si>
    <t>Docum &amp; site supervisor</t>
  </si>
  <si>
    <t>From No 2</t>
  </si>
  <si>
    <r>
      <rPr>
        <b/>
        <sz val="11"/>
        <color theme="1"/>
        <rFont val="Aptos Narrow"/>
        <family val="2"/>
        <scheme val="minor"/>
      </rPr>
      <t xml:space="preserve">Vechicle Category : </t>
    </r>
    <r>
      <rPr>
        <sz val="11"/>
        <color theme="1"/>
        <rFont val="Aptos Narrow"/>
        <family val="2"/>
        <scheme val="minor"/>
      </rPr>
      <t>personal Vechicle</t>
    </r>
  </si>
  <si>
    <t>Vechicle No :</t>
  </si>
  <si>
    <t>S.No</t>
  </si>
  <si>
    <t xml:space="preserve">Date </t>
  </si>
  <si>
    <t xml:space="preserve">From </t>
  </si>
  <si>
    <t>To</t>
  </si>
  <si>
    <t>Start</t>
  </si>
  <si>
    <t>Finish 
Trip</t>
  </si>
  <si>
    <t>Total 
KM</t>
  </si>
  <si>
    <t>Reason for Trip</t>
  </si>
  <si>
    <t>Remark</t>
  </si>
  <si>
    <t>M.KARTHIK RATNA</t>
  </si>
  <si>
    <t xml:space="preserve">Project Engineer </t>
  </si>
  <si>
    <t>Total Kilometres :</t>
  </si>
  <si>
    <t>Approved Rate for kilometer 3 rate for km</t>
  </si>
  <si>
    <t>Total Amount :-</t>
  </si>
  <si>
    <t>leave</t>
  </si>
  <si>
    <t xml:space="preserve">CRTPL </t>
  </si>
  <si>
    <t>Sunday</t>
  </si>
  <si>
    <t>Republic Day</t>
  </si>
  <si>
    <t>TS08EB8102</t>
  </si>
  <si>
    <r>
      <rPr>
        <b/>
        <sz val="11"/>
        <color theme="1"/>
        <rFont val="Aptos Narrow"/>
        <family val="2"/>
        <scheme val="minor"/>
      </rPr>
      <t>In Words</t>
    </r>
    <r>
      <rPr>
        <sz val="11"/>
        <color theme="1"/>
        <rFont val="Aptos Narrow"/>
        <family val="2"/>
        <scheme val="minor"/>
      </rPr>
      <t xml:space="preserve"> : Nine Thousand Twelve Rupee</t>
    </r>
  </si>
  <si>
    <t xml:space="preserve">Sankranti </t>
  </si>
  <si>
    <t>M.Karthik Ratna</t>
  </si>
  <si>
    <t>Chatla Babu</t>
  </si>
  <si>
    <t>Saddam Hussain</t>
  </si>
  <si>
    <t>Nadir Alam</t>
  </si>
  <si>
    <t>Saquib</t>
  </si>
  <si>
    <t>Md Masoom</t>
  </si>
  <si>
    <t>Leave</t>
  </si>
  <si>
    <t>9:00 AM 
6:00 Pm</t>
  </si>
  <si>
    <t>Sankranti</t>
  </si>
  <si>
    <t>Republic 
Day</t>
  </si>
  <si>
    <t xml:space="preserve">Dates  and 
Names
</t>
  </si>
  <si>
    <t>Other
Site</t>
  </si>
  <si>
    <t xml:space="preserve">Date &amp; 
Names </t>
  </si>
  <si>
    <t xml:space="preserve">Karthik Ratna </t>
  </si>
  <si>
    <t xml:space="preserve">Saquib </t>
  </si>
  <si>
    <t xml:space="preserve">Nadir Alam </t>
  </si>
  <si>
    <t xml:space="preserve">Leave </t>
  </si>
  <si>
    <t xml:space="preserve">Sunday </t>
  </si>
  <si>
    <t xml:space="preserve">leave </t>
  </si>
  <si>
    <t>Vechicle No : TS08EB8102</t>
  </si>
  <si>
    <t xml:space="preserve">M.Karthik Ratna </t>
  </si>
  <si>
    <r>
      <rPr>
        <b/>
        <sz val="11"/>
        <color theme="1"/>
        <rFont val="Times New Roman"/>
        <family val="1"/>
      </rPr>
      <t xml:space="preserve">Vechicle Category : </t>
    </r>
    <r>
      <rPr>
        <sz val="11"/>
        <color theme="1"/>
        <rFont val="Times New Roman"/>
        <family val="1"/>
      </rPr>
      <t>Personal Vechicle</t>
    </r>
  </si>
  <si>
    <t>Form 3</t>
  </si>
  <si>
    <t>CRTPL Office (BalaNagar)</t>
  </si>
  <si>
    <r>
      <rPr>
        <b/>
        <sz val="11"/>
        <color theme="1"/>
        <rFont val="Times New Roman"/>
        <family val="1"/>
      </rPr>
      <t>In Words</t>
    </r>
    <r>
      <rPr>
        <sz val="11"/>
        <color theme="1"/>
        <rFont val="Times New Roman"/>
        <family val="1"/>
      </rPr>
      <t xml:space="preserve"> :  Seven Thousand Nine Hundred Forty Four Rupee </t>
    </r>
  </si>
  <si>
    <t xml:space="preserve">Bits </t>
  </si>
  <si>
    <t xml:space="preserve">karthik </t>
  </si>
  <si>
    <t>9:00 To 6 Pm</t>
  </si>
  <si>
    <t xml:space="preserve">Dtaes </t>
  </si>
  <si>
    <t xml:space="preserve">S,No </t>
  </si>
  <si>
    <t xml:space="preserve">Site Name </t>
  </si>
  <si>
    <t>newatoms</t>
  </si>
  <si>
    <t xml:space="preserve"> Divis</t>
  </si>
  <si>
    <t xml:space="preserve">                    </t>
  </si>
  <si>
    <t>Divis &amp; Newatom</t>
  </si>
  <si>
    <t>Eluri phrma</t>
  </si>
  <si>
    <t>Attendance Sheet</t>
  </si>
  <si>
    <t>Newsatom &amp; Divis</t>
  </si>
  <si>
    <t>01-03-2026 To 31-03-2026</t>
  </si>
  <si>
    <t>Form 4</t>
  </si>
  <si>
    <t>NewAtom ( Chitiyala) /  Divi</t>
  </si>
  <si>
    <t>UGADI</t>
  </si>
  <si>
    <t>NewAtom ( Chitiyala) /  Divi's</t>
  </si>
  <si>
    <t>Yeluri Pharma</t>
  </si>
  <si>
    <t xml:space="preserve"> site supervisor</t>
  </si>
  <si>
    <t>validation</t>
  </si>
  <si>
    <r>
      <rPr>
        <b/>
        <sz val="11"/>
        <color theme="1"/>
        <rFont val="Times New Roman"/>
        <family val="1"/>
      </rPr>
      <t>In Words</t>
    </r>
    <r>
      <rPr>
        <sz val="11"/>
        <color theme="1"/>
        <rFont val="Times New Roman"/>
        <family val="1"/>
      </rPr>
      <t xml:space="preserve"> :  Eight Thousand Seven Hundred Rupee </t>
    </r>
  </si>
  <si>
    <t>ugadi</t>
  </si>
  <si>
    <t>sunday</t>
  </si>
  <si>
    <t>Divi's</t>
  </si>
  <si>
    <t xml:space="preserve"> </t>
  </si>
  <si>
    <t xml:space="preserve">Divi's (Choutuppal)  </t>
  </si>
  <si>
    <t xml:space="preserve">LB Nagar </t>
  </si>
  <si>
    <t>site supervisor</t>
  </si>
  <si>
    <t>Form 5</t>
  </si>
  <si>
    <t xml:space="preserve">Day </t>
  </si>
  <si>
    <t xml:space="preserve">Wednesday </t>
  </si>
  <si>
    <t>Thursday</t>
  </si>
  <si>
    <t>Friday</t>
  </si>
  <si>
    <t>Saturday</t>
  </si>
  <si>
    <t>Monday</t>
  </si>
  <si>
    <t>Tuesday</t>
  </si>
  <si>
    <t>Wednesday</t>
  </si>
  <si>
    <t>9:00 AM  To 6:00 Pm</t>
  </si>
  <si>
    <t xml:space="preserve">Timing </t>
  </si>
  <si>
    <t>10-04-2026 to 30-04-2026</t>
  </si>
  <si>
    <t xml:space="preserve">Remark </t>
  </si>
  <si>
    <t xml:space="preserve">In Words : Seven Thousand Twenty Rupee Only </t>
  </si>
  <si>
    <r>
      <rPr>
        <b/>
        <sz val="12"/>
        <color theme="1"/>
        <rFont val="Times New Roman"/>
        <family val="1"/>
      </rPr>
      <t xml:space="preserve">Vechicle Category : </t>
    </r>
    <r>
      <rPr>
        <sz val="12"/>
        <color theme="1"/>
        <rFont val="Times New Roman"/>
        <family val="1"/>
      </rPr>
      <t>Personal Vechicle</t>
    </r>
  </si>
  <si>
    <t>Form 6</t>
  </si>
  <si>
    <t xml:space="preserve">Sunday Weekoff </t>
  </si>
  <si>
    <t xml:space="preserve">In Words : Seven Thousand Nine hundered Fourty Rupee Only </t>
  </si>
  <si>
    <t>LB Nagar</t>
  </si>
  <si>
    <r>
      <rPr>
        <b/>
        <sz val="11"/>
        <color theme="1"/>
        <rFont val="Aptos Narrow"/>
        <family val="2"/>
        <scheme val="minor"/>
      </rPr>
      <t>Note</t>
    </r>
    <r>
      <rPr>
        <sz val="11"/>
        <color theme="1"/>
        <rFont val="Aptos Narrow"/>
        <family val="2"/>
        <scheme val="minor"/>
      </rPr>
      <t xml:space="preserve"> : Auto chargers for Manpower 01( Divis to  Newatoms ) cash 80 rs up &amp;down 80 x40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</si>
</sst>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5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5" fontId="1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right"/>
    </xf>
    <xf numFmtId="0" fontId="7" fillId="0" borderId="0" xfId="0" applyFont="1"/>
    <xf numFmtId="14" fontId="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/>
    <xf numFmtId="14" fontId="8" fillId="0" borderId="15" xfId="0" applyNumberFormat="1" applyFont="1" applyBorder="1" applyAlignment="1">
      <alignment horizontal="center" vertical="center"/>
    </xf>
    <xf numFmtId="14" fontId="8" fillId="2" borderId="15" xfId="0" applyNumberFormat="1" applyFont="1" applyFill="1" applyBorder="1" applyAlignment="1">
      <alignment horizontal="center" vertical="center"/>
    </xf>
    <xf numFmtId="14" fontId="8" fillId="0" borderId="16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/>
    <xf numFmtId="0" fontId="14" fillId="0" borderId="0" xfId="0" applyFont="1"/>
    <xf numFmtId="14" fontId="8" fillId="3" borderId="15" xfId="0" applyNumberFormat="1" applyFont="1" applyFill="1" applyBorder="1" applyAlignment="1">
      <alignment horizontal="center" vertical="center"/>
    </xf>
    <xf numFmtId="14" fontId="8" fillId="3" borderId="16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14" xfId="0" applyFont="1" applyBorder="1" applyAlignment="1">
      <alignment horizontal="center" vertical="center" wrapText="1"/>
    </xf>
    <xf numFmtId="14" fontId="13" fillId="0" borderId="15" xfId="0" applyNumberFormat="1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15" fontId="11" fillId="0" borderId="1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15" fontId="11" fillId="2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1" fillId="0" borderId="1" xfId="0" applyFont="1" applyBorder="1"/>
    <xf numFmtId="3" fontId="15" fillId="0" borderId="1" xfId="0" applyNumberFormat="1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2" borderId="0" xfId="0" applyFont="1" applyFill="1"/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center"/>
    </xf>
    <xf numFmtId="14" fontId="19" fillId="2" borderId="1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/>
    <xf numFmtId="0" fontId="19" fillId="2" borderId="1" xfId="0" applyFont="1" applyFill="1" applyBorder="1"/>
    <xf numFmtId="0" fontId="20" fillId="2" borderId="1" xfId="0" applyFont="1" applyFill="1" applyBorder="1"/>
    <xf numFmtId="14" fontId="20" fillId="2" borderId="1" xfId="0" applyNumberFormat="1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0" borderId="0" xfId="0" applyFont="1" applyAlignment="1">
      <alignment vertical="center"/>
    </xf>
    <xf numFmtId="0" fontId="15" fillId="2" borderId="1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/>
    <xf numFmtId="0" fontId="22" fillId="0" borderId="0" xfId="0" applyFont="1"/>
    <xf numFmtId="0" fontId="10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2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0" borderId="0" xfId="0" applyFont="1"/>
    <xf numFmtId="0" fontId="10" fillId="2" borderId="1" xfId="0" applyFont="1" applyFill="1" applyBorder="1" applyAlignment="1">
      <alignment horizontal="center"/>
    </xf>
    <xf numFmtId="15" fontId="22" fillId="2" borderId="1" xfId="0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15" fontId="21" fillId="2" borderId="1" xfId="0" applyNumberFormat="1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22" fillId="0" borderId="12" xfId="0" applyFont="1" applyBorder="1"/>
    <xf numFmtId="0" fontId="10" fillId="0" borderId="0" xfId="0" applyFon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4" fontId="18" fillId="2" borderId="1" xfId="0" applyNumberFormat="1" applyFont="1" applyFill="1" applyBorder="1" applyAlignment="1">
      <alignment horizontal="center"/>
    </xf>
    <xf numFmtId="0" fontId="18" fillId="2" borderId="1" xfId="0" applyFont="1" applyFill="1" applyBorder="1"/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14" fontId="18" fillId="4" borderId="1" xfId="0" applyNumberFormat="1" applyFont="1" applyFill="1" applyBorder="1"/>
    <xf numFmtId="0" fontId="18" fillId="4" borderId="1" xfId="0" applyFont="1" applyFill="1" applyBorder="1"/>
    <xf numFmtId="14" fontId="1" fillId="4" borderId="1" xfId="0" applyNumberFormat="1" applyFont="1" applyFill="1" applyBorder="1"/>
    <xf numFmtId="0" fontId="1" fillId="4" borderId="1" xfId="0" applyFont="1" applyFill="1" applyBorder="1"/>
    <xf numFmtId="14" fontId="1" fillId="0" borderId="1" xfId="0" applyNumberFormat="1" applyFont="1" applyBorder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4" fillId="0" borderId="0" xfId="0" applyFont="1"/>
    <xf numFmtId="0" fontId="23" fillId="0" borderId="0" xfId="0" applyFont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0" borderId="1" xfId="0" applyFont="1" applyBorder="1" applyAlignment="1">
      <alignment horizontal="right"/>
    </xf>
    <xf numFmtId="3" fontId="5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11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20" fillId="0" borderId="8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17" fontId="19" fillId="0" borderId="0" xfId="0" applyNumberFormat="1" applyFont="1" applyAlignment="1">
      <alignment horizontal="center"/>
    </xf>
    <xf numFmtId="17" fontId="12" fillId="0" borderId="8" xfId="0" applyNumberFormat="1" applyFont="1" applyBorder="1" applyAlignment="1">
      <alignment horizontal="right"/>
    </xf>
    <xf numFmtId="0" fontId="12" fillId="0" borderId="8" xfId="0" applyFont="1" applyBorder="1" applyAlignment="1">
      <alignment horizontal="righ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17" fontId="23" fillId="0" borderId="8" xfId="0" applyNumberFormat="1" applyFont="1" applyBorder="1" applyAlignment="1">
      <alignment horizontal="right"/>
    </xf>
    <xf numFmtId="0" fontId="23" fillId="0" borderId="8" xfId="0" applyFont="1" applyBorder="1" applyAlignment="1">
      <alignment horizontal="right"/>
    </xf>
    <xf numFmtId="0" fontId="18" fillId="0" borderId="11" xfId="0" applyFont="1" applyBorder="1" applyAlignment="1"/>
    <xf numFmtId="0" fontId="18" fillId="0" borderId="12" xfId="0" applyFont="1" applyBorder="1" applyAlignment="1"/>
    <xf numFmtId="0" fontId="18" fillId="0" borderId="1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/>
    <xf numFmtId="0" fontId="18" fillId="0" borderId="0" xfId="0" applyFont="1" applyAlignment="1">
      <alignment horizontal="center"/>
    </xf>
    <xf numFmtId="0" fontId="18" fillId="3" borderId="1" xfId="0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18" fillId="2" borderId="10" xfId="0" applyFont="1" applyFill="1" applyBorder="1" applyAlignment="1"/>
    <xf numFmtId="17" fontId="22" fillId="0" borderId="8" xfId="0" applyNumberFormat="1" applyFont="1" applyBorder="1" applyAlignment="1">
      <alignment horizontal="right"/>
    </xf>
    <xf numFmtId="0" fontId="22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F063-17EB-463D-B2DC-48908446AEF5}">
  <dimension ref="A1:I42"/>
  <sheetViews>
    <sheetView view="pageLayout" topLeftCell="A19" zoomScaleNormal="100" workbookViewId="0">
      <selection activeCell="G9" sqref="G9"/>
    </sheetView>
  </sheetViews>
  <sheetFormatPr defaultRowHeight="14.4" x14ac:dyDescent="0.3"/>
  <cols>
    <col min="1" max="1" width="4.88671875" style="1" customWidth="1"/>
    <col min="2" max="2" width="10.109375" style="1" customWidth="1"/>
    <col min="3" max="3" width="15" style="1" bestFit="1" customWidth="1"/>
    <col min="4" max="4" width="17.77734375" style="1" bestFit="1" customWidth="1"/>
    <col min="5" max="5" width="6.109375" style="1" customWidth="1"/>
    <col min="6" max="6" width="5.109375" style="1" customWidth="1"/>
    <col min="7" max="7" width="4.88671875" style="1" customWidth="1"/>
    <col min="8" max="8" width="20.109375" style="1" customWidth="1"/>
    <col min="9" max="9" width="12.109375" style="1" customWidth="1"/>
  </cols>
  <sheetData>
    <row r="1" spans="1:9" x14ac:dyDescent="0.3">
      <c r="A1" s="125" t="s">
        <v>15</v>
      </c>
      <c r="B1" s="126"/>
      <c r="C1" s="126"/>
      <c r="D1" s="126"/>
      <c r="E1" s="12"/>
      <c r="F1" s="12"/>
      <c r="G1" s="12"/>
      <c r="H1" s="12"/>
      <c r="I1" s="17" t="s">
        <v>3</v>
      </c>
    </row>
    <row r="2" spans="1:9" x14ac:dyDescent="0.3">
      <c r="A2" s="129" t="s">
        <v>16</v>
      </c>
      <c r="B2" s="130"/>
      <c r="C2" s="130"/>
      <c r="D2" s="10"/>
      <c r="H2" s="127" t="s">
        <v>4</v>
      </c>
      <c r="I2" s="128"/>
    </row>
    <row r="3" spans="1:9" x14ac:dyDescent="0.3">
      <c r="A3" s="131"/>
      <c r="B3" s="132"/>
      <c r="C3" s="132"/>
      <c r="H3" s="11" t="s">
        <v>5</v>
      </c>
      <c r="I3" s="13" t="s">
        <v>24</v>
      </c>
    </row>
    <row r="4" spans="1:9" x14ac:dyDescent="0.3">
      <c r="A4" s="14"/>
      <c r="B4" s="15"/>
      <c r="C4" s="15"/>
      <c r="D4" s="15"/>
      <c r="E4" s="15"/>
      <c r="F4" s="15"/>
      <c r="G4" s="15"/>
      <c r="H4" s="15"/>
      <c r="I4" s="16"/>
    </row>
    <row r="5" spans="1:9" ht="31.2" customHeight="1" x14ac:dyDescent="0.3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4" t="s">
        <v>11</v>
      </c>
      <c r="G5" s="5" t="s">
        <v>12</v>
      </c>
      <c r="H5" s="3" t="s">
        <v>13</v>
      </c>
      <c r="I5" s="3" t="s">
        <v>14</v>
      </c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>
        <v>1</v>
      </c>
      <c r="B7" s="6">
        <v>46023</v>
      </c>
      <c r="C7" s="2" t="s">
        <v>0</v>
      </c>
      <c r="D7" s="2" t="s">
        <v>1</v>
      </c>
      <c r="E7" s="2">
        <v>65</v>
      </c>
      <c r="F7" s="2">
        <v>65</v>
      </c>
      <c r="G7" s="2">
        <f>E7+F7</f>
        <v>130</v>
      </c>
      <c r="H7" s="2" t="s">
        <v>2</v>
      </c>
      <c r="I7" s="2"/>
    </row>
    <row r="8" spans="1:9" x14ac:dyDescent="0.3">
      <c r="A8" s="2">
        <v>2</v>
      </c>
      <c r="B8" s="6">
        <v>46024</v>
      </c>
      <c r="C8" s="2" t="s">
        <v>0</v>
      </c>
      <c r="D8" s="2" t="s">
        <v>1</v>
      </c>
      <c r="E8" s="2">
        <v>65</v>
      </c>
      <c r="F8" s="2">
        <v>65</v>
      </c>
      <c r="G8" s="2">
        <f t="shared" ref="G8:G37" si="0">E8+F8</f>
        <v>130</v>
      </c>
      <c r="H8" s="2" t="s">
        <v>2</v>
      </c>
      <c r="I8" s="2"/>
    </row>
    <row r="9" spans="1:9" x14ac:dyDescent="0.3">
      <c r="A9" s="2">
        <v>3</v>
      </c>
      <c r="B9" s="6">
        <v>46025</v>
      </c>
      <c r="C9" s="2" t="s">
        <v>0</v>
      </c>
      <c r="D9" s="2" t="s">
        <v>1</v>
      </c>
      <c r="E9" s="2">
        <v>65</v>
      </c>
      <c r="F9" s="2">
        <v>65</v>
      </c>
      <c r="G9" s="2">
        <f t="shared" si="0"/>
        <v>130</v>
      </c>
      <c r="H9" s="2" t="s">
        <v>2</v>
      </c>
      <c r="I9" s="2"/>
    </row>
    <row r="10" spans="1:9" x14ac:dyDescent="0.3">
      <c r="A10" s="7">
        <v>4</v>
      </c>
      <c r="B10" s="8">
        <v>46026</v>
      </c>
      <c r="C10" s="7" t="s">
        <v>22</v>
      </c>
      <c r="D10" s="7"/>
      <c r="E10" s="7"/>
      <c r="F10" s="7"/>
      <c r="G10" s="7"/>
      <c r="H10" s="7"/>
      <c r="I10" s="2"/>
    </row>
    <row r="11" spans="1:9" x14ac:dyDescent="0.3">
      <c r="A11" s="7">
        <v>5</v>
      </c>
      <c r="B11" s="8">
        <v>46027</v>
      </c>
      <c r="C11" s="7" t="s">
        <v>20</v>
      </c>
      <c r="D11" s="9"/>
      <c r="E11" s="9"/>
      <c r="F11" s="9"/>
      <c r="G11" s="9"/>
      <c r="H11" s="9"/>
      <c r="I11" s="2"/>
    </row>
    <row r="12" spans="1:9" x14ac:dyDescent="0.3">
      <c r="A12" s="2">
        <v>6</v>
      </c>
      <c r="B12" s="6">
        <v>46028</v>
      </c>
      <c r="C12" s="2" t="s">
        <v>0</v>
      </c>
      <c r="D12" s="2" t="s">
        <v>1</v>
      </c>
      <c r="E12" s="2">
        <v>65</v>
      </c>
      <c r="F12" s="2">
        <v>65</v>
      </c>
      <c r="G12" s="2">
        <f t="shared" si="0"/>
        <v>130</v>
      </c>
      <c r="H12" s="2" t="s">
        <v>2</v>
      </c>
      <c r="I12" s="2"/>
    </row>
    <row r="13" spans="1:9" x14ac:dyDescent="0.3">
      <c r="A13" s="2">
        <v>7</v>
      </c>
      <c r="B13" s="6">
        <v>46029</v>
      </c>
      <c r="C13" s="2" t="s">
        <v>0</v>
      </c>
      <c r="D13" s="2" t="s">
        <v>1</v>
      </c>
      <c r="E13" s="2">
        <v>65</v>
      </c>
      <c r="F13" s="2">
        <v>65</v>
      </c>
      <c r="G13" s="2">
        <f t="shared" si="0"/>
        <v>130</v>
      </c>
      <c r="H13" s="2" t="s">
        <v>2</v>
      </c>
      <c r="I13" s="2"/>
    </row>
    <row r="14" spans="1:9" x14ac:dyDescent="0.3">
      <c r="A14" s="2">
        <v>8</v>
      </c>
      <c r="B14" s="6">
        <v>46030</v>
      </c>
      <c r="C14" s="2" t="s">
        <v>0</v>
      </c>
      <c r="D14" s="2" t="s">
        <v>1</v>
      </c>
      <c r="E14" s="2">
        <v>65</v>
      </c>
      <c r="F14" s="2">
        <v>65</v>
      </c>
      <c r="G14" s="2">
        <f t="shared" si="0"/>
        <v>130</v>
      </c>
      <c r="H14" s="2" t="s">
        <v>2</v>
      </c>
      <c r="I14" s="2"/>
    </row>
    <row r="15" spans="1:9" x14ac:dyDescent="0.3">
      <c r="A15" s="2">
        <v>9</v>
      </c>
      <c r="B15" s="6">
        <v>46031</v>
      </c>
      <c r="C15" s="2" t="s">
        <v>0</v>
      </c>
      <c r="D15" s="2" t="s">
        <v>21</v>
      </c>
      <c r="E15" s="2">
        <v>24</v>
      </c>
      <c r="F15" s="2">
        <v>24</v>
      </c>
      <c r="G15" s="2">
        <f t="shared" si="0"/>
        <v>48</v>
      </c>
      <c r="H15" s="2" t="s">
        <v>2</v>
      </c>
      <c r="I15" s="2"/>
    </row>
    <row r="16" spans="1:9" x14ac:dyDescent="0.3">
      <c r="A16" s="2">
        <v>10</v>
      </c>
      <c r="B16" s="6">
        <v>46032</v>
      </c>
      <c r="C16" s="2" t="s">
        <v>0</v>
      </c>
      <c r="D16" s="2" t="s">
        <v>21</v>
      </c>
      <c r="E16" s="2">
        <v>24</v>
      </c>
      <c r="F16" s="2">
        <v>24</v>
      </c>
      <c r="G16" s="2">
        <f t="shared" si="0"/>
        <v>48</v>
      </c>
      <c r="H16" s="2" t="s">
        <v>2</v>
      </c>
      <c r="I16" s="2"/>
    </row>
    <row r="17" spans="1:9" x14ac:dyDescent="0.3">
      <c r="A17" s="7">
        <v>11</v>
      </c>
      <c r="B17" s="8">
        <v>46033</v>
      </c>
      <c r="C17" s="7" t="s">
        <v>22</v>
      </c>
      <c r="D17" s="9"/>
      <c r="E17" s="9"/>
      <c r="F17" s="9"/>
      <c r="G17" s="9"/>
      <c r="H17" s="9"/>
      <c r="I17" s="2"/>
    </row>
    <row r="18" spans="1:9" x14ac:dyDescent="0.3">
      <c r="A18" s="2">
        <v>12</v>
      </c>
      <c r="B18" s="6">
        <v>46034</v>
      </c>
      <c r="C18" s="2" t="s">
        <v>0</v>
      </c>
      <c r="D18" s="2" t="s">
        <v>1</v>
      </c>
      <c r="E18" s="2">
        <v>65</v>
      </c>
      <c r="F18" s="2">
        <v>65</v>
      </c>
      <c r="G18" s="2">
        <f t="shared" si="0"/>
        <v>130</v>
      </c>
      <c r="H18" s="2" t="s">
        <v>2</v>
      </c>
      <c r="I18" s="2"/>
    </row>
    <row r="19" spans="1:9" x14ac:dyDescent="0.3">
      <c r="A19" s="2">
        <v>13</v>
      </c>
      <c r="B19" s="6">
        <v>46035</v>
      </c>
      <c r="C19" s="2" t="s">
        <v>0</v>
      </c>
      <c r="D19" s="2" t="s">
        <v>1</v>
      </c>
      <c r="E19" s="2">
        <v>65</v>
      </c>
      <c r="F19" s="2">
        <v>65</v>
      </c>
      <c r="G19" s="2">
        <f t="shared" si="0"/>
        <v>130</v>
      </c>
      <c r="H19" s="2" t="s">
        <v>2</v>
      </c>
      <c r="I19" s="2"/>
    </row>
    <row r="20" spans="1:9" x14ac:dyDescent="0.3">
      <c r="A20" s="2">
        <v>14</v>
      </c>
      <c r="B20" s="6">
        <v>46036</v>
      </c>
      <c r="C20" s="2" t="s">
        <v>0</v>
      </c>
      <c r="D20" s="2" t="s">
        <v>1</v>
      </c>
      <c r="E20" s="2">
        <v>65</v>
      </c>
      <c r="F20" s="2">
        <v>65</v>
      </c>
      <c r="G20" s="2">
        <f t="shared" si="0"/>
        <v>130</v>
      </c>
      <c r="H20" s="2" t="s">
        <v>2</v>
      </c>
      <c r="I20" s="2"/>
    </row>
    <row r="21" spans="1:9" x14ac:dyDescent="0.3">
      <c r="A21" s="7">
        <v>15</v>
      </c>
      <c r="B21" s="8">
        <v>46037</v>
      </c>
      <c r="C21" s="7" t="s">
        <v>26</v>
      </c>
      <c r="D21" s="9"/>
      <c r="E21" s="9"/>
      <c r="F21" s="9"/>
      <c r="G21" s="9"/>
      <c r="H21" s="9"/>
      <c r="I21" s="2"/>
    </row>
    <row r="22" spans="1:9" x14ac:dyDescent="0.3">
      <c r="A22" s="2">
        <v>16</v>
      </c>
      <c r="B22" s="6">
        <v>46038</v>
      </c>
      <c r="C22" s="2" t="s">
        <v>0</v>
      </c>
      <c r="D22" s="2" t="s">
        <v>1</v>
      </c>
      <c r="E22" s="2">
        <v>65</v>
      </c>
      <c r="F22" s="2">
        <v>65</v>
      </c>
      <c r="G22" s="2">
        <f t="shared" si="0"/>
        <v>130</v>
      </c>
      <c r="H22" s="2" t="s">
        <v>2</v>
      </c>
      <c r="I22" s="2"/>
    </row>
    <row r="23" spans="1:9" x14ac:dyDescent="0.3">
      <c r="A23" s="2">
        <v>17</v>
      </c>
      <c r="B23" s="6">
        <v>46039</v>
      </c>
      <c r="C23" s="2" t="s">
        <v>0</v>
      </c>
      <c r="D23" s="2" t="s">
        <v>1</v>
      </c>
      <c r="E23" s="2">
        <v>65</v>
      </c>
      <c r="F23" s="2">
        <v>65</v>
      </c>
      <c r="G23" s="2">
        <f t="shared" si="0"/>
        <v>130</v>
      </c>
      <c r="H23" s="2" t="s">
        <v>2</v>
      </c>
      <c r="I23" s="2"/>
    </row>
    <row r="24" spans="1:9" x14ac:dyDescent="0.3">
      <c r="A24" s="7">
        <v>18</v>
      </c>
      <c r="B24" s="8">
        <v>46040</v>
      </c>
      <c r="C24" s="7" t="s">
        <v>22</v>
      </c>
      <c r="D24" s="9"/>
      <c r="E24" s="9"/>
      <c r="F24" s="9"/>
      <c r="G24" s="9"/>
      <c r="H24" s="9"/>
      <c r="I24" s="2"/>
    </row>
    <row r="25" spans="1:9" x14ac:dyDescent="0.3">
      <c r="A25" s="2">
        <v>19</v>
      </c>
      <c r="B25" s="6">
        <v>46041</v>
      </c>
      <c r="C25" s="2" t="s">
        <v>0</v>
      </c>
      <c r="D25" s="2" t="s">
        <v>1</v>
      </c>
      <c r="E25" s="2">
        <v>65</v>
      </c>
      <c r="F25" s="2">
        <v>65</v>
      </c>
      <c r="G25" s="2">
        <f t="shared" si="0"/>
        <v>130</v>
      </c>
      <c r="H25" s="2" t="s">
        <v>2</v>
      </c>
      <c r="I25" s="2"/>
    </row>
    <row r="26" spans="1:9" x14ac:dyDescent="0.3">
      <c r="A26" s="2">
        <v>20</v>
      </c>
      <c r="B26" s="6">
        <v>46042</v>
      </c>
      <c r="C26" s="2" t="s">
        <v>0</v>
      </c>
      <c r="D26" s="2" t="s">
        <v>1</v>
      </c>
      <c r="E26" s="2">
        <v>65</v>
      </c>
      <c r="F26" s="2">
        <v>65</v>
      </c>
      <c r="G26" s="2">
        <f t="shared" si="0"/>
        <v>130</v>
      </c>
      <c r="H26" s="2" t="s">
        <v>2</v>
      </c>
      <c r="I26" s="2"/>
    </row>
    <row r="27" spans="1:9" x14ac:dyDescent="0.3">
      <c r="A27" s="2">
        <v>21</v>
      </c>
      <c r="B27" s="6">
        <v>46043</v>
      </c>
      <c r="C27" s="2" t="s">
        <v>0</v>
      </c>
      <c r="D27" s="2" t="s">
        <v>1</v>
      </c>
      <c r="E27" s="2">
        <v>65</v>
      </c>
      <c r="F27" s="2">
        <v>65</v>
      </c>
      <c r="G27" s="2">
        <f t="shared" si="0"/>
        <v>130</v>
      </c>
      <c r="H27" s="2" t="s">
        <v>2</v>
      </c>
      <c r="I27" s="2"/>
    </row>
    <row r="28" spans="1:9" x14ac:dyDescent="0.3">
      <c r="A28" s="2">
        <v>22</v>
      </c>
      <c r="B28" s="6">
        <v>46044</v>
      </c>
      <c r="C28" s="2" t="s">
        <v>0</v>
      </c>
      <c r="D28" s="2" t="s">
        <v>1</v>
      </c>
      <c r="E28" s="2">
        <v>65</v>
      </c>
      <c r="F28" s="2">
        <v>65</v>
      </c>
      <c r="G28" s="2">
        <f t="shared" si="0"/>
        <v>130</v>
      </c>
      <c r="H28" s="2" t="s">
        <v>2</v>
      </c>
      <c r="I28" s="2"/>
    </row>
    <row r="29" spans="1:9" x14ac:dyDescent="0.3">
      <c r="A29" s="2">
        <v>23</v>
      </c>
      <c r="B29" s="6">
        <v>46045</v>
      </c>
      <c r="C29" s="2" t="s">
        <v>0</v>
      </c>
      <c r="D29" s="2" t="s">
        <v>1</v>
      </c>
      <c r="E29" s="2">
        <v>65</v>
      </c>
      <c r="F29" s="2">
        <v>65</v>
      </c>
      <c r="G29" s="2">
        <f t="shared" si="0"/>
        <v>130</v>
      </c>
      <c r="H29" s="2" t="s">
        <v>2</v>
      </c>
      <c r="I29" s="2"/>
    </row>
    <row r="30" spans="1:9" x14ac:dyDescent="0.3">
      <c r="A30" s="2">
        <v>24</v>
      </c>
      <c r="B30" s="6">
        <v>46046</v>
      </c>
      <c r="C30" s="2" t="s">
        <v>0</v>
      </c>
      <c r="D30" s="2" t="s">
        <v>1</v>
      </c>
      <c r="E30" s="2">
        <v>65</v>
      </c>
      <c r="F30" s="2">
        <v>65</v>
      </c>
      <c r="G30" s="2">
        <f t="shared" si="0"/>
        <v>130</v>
      </c>
      <c r="H30" s="2" t="s">
        <v>2</v>
      </c>
      <c r="I30" s="2"/>
    </row>
    <row r="31" spans="1:9" x14ac:dyDescent="0.3">
      <c r="A31" s="2">
        <v>25</v>
      </c>
      <c r="B31" s="6">
        <v>46047</v>
      </c>
      <c r="C31" s="2" t="s">
        <v>0</v>
      </c>
      <c r="D31" s="2" t="s">
        <v>1</v>
      </c>
      <c r="E31" s="2">
        <v>65</v>
      </c>
      <c r="F31" s="2">
        <v>65</v>
      </c>
      <c r="G31" s="2">
        <f t="shared" si="0"/>
        <v>130</v>
      </c>
      <c r="H31" s="2" t="s">
        <v>2</v>
      </c>
      <c r="I31" s="2"/>
    </row>
    <row r="32" spans="1:9" x14ac:dyDescent="0.3">
      <c r="A32" s="7">
        <v>26</v>
      </c>
      <c r="B32" s="8">
        <v>46048</v>
      </c>
      <c r="C32" s="7" t="s">
        <v>23</v>
      </c>
      <c r="D32" s="7"/>
      <c r="E32" s="7"/>
      <c r="F32" s="7"/>
      <c r="G32" s="7"/>
      <c r="H32" s="7"/>
      <c r="I32" s="2"/>
    </row>
    <row r="33" spans="1:9" x14ac:dyDescent="0.3">
      <c r="A33" s="2">
        <v>27</v>
      </c>
      <c r="B33" s="6">
        <v>46049</v>
      </c>
      <c r="C33" s="2" t="s">
        <v>0</v>
      </c>
      <c r="D33" s="2" t="s">
        <v>1</v>
      </c>
      <c r="E33" s="2">
        <v>65</v>
      </c>
      <c r="F33" s="2">
        <v>65</v>
      </c>
      <c r="G33" s="2">
        <f t="shared" si="0"/>
        <v>130</v>
      </c>
      <c r="H33" s="2" t="s">
        <v>2</v>
      </c>
      <c r="I33" s="2"/>
    </row>
    <row r="34" spans="1:9" x14ac:dyDescent="0.3">
      <c r="A34" s="2">
        <v>28</v>
      </c>
      <c r="B34" s="6">
        <v>46050</v>
      </c>
      <c r="C34" s="2" t="s">
        <v>0</v>
      </c>
      <c r="D34" s="2" t="s">
        <v>1</v>
      </c>
      <c r="E34" s="2">
        <v>65</v>
      </c>
      <c r="F34" s="2">
        <v>65</v>
      </c>
      <c r="G34" s="2">
        <f t="shared" si="0"/>
        <v>130</v>
      </c>
      <c r="H34" s="2" t="s">
        <v>2</v>
      </c>
      <c r="I34" s="2"/>
    </row>
    <row r="35" spans="1:9" x14ac:dyDescent="0.3">
      <c r="A35" s="2">
        <v>29</v>
      </c>
      <c r="B35" s="6">
        <v>46051</v>
      </c>
      <c r="C35" s="2" t="s">
        <v>0</v>
      </c>
      <c r="D35" s="2" t="s">
        <v>1</v>
      </c>
      <c r="E35" s="2">
        <v>65</v>
      </c>
      <c r="F35" s="2">
        <v>65</v>
      </c>
      <c r="G35" s="2">
        <f t="shared" si="0"/>
        <v>130</v>
      </c>
      <c r="H35" s="2" t="s">
        <v>2</v>
      </c>
      <c r="I35" s="2"/>
    </row>
    <row r="36" spans="1:9" x14ac:dyDescent="0.3">
      <c r="A36" s="2">
        <v>30</v>
      </c>
      <c r="B36" s="6">
        <v>46052</v>
      </c>
      <c r="C36" s="2" t="s">
        <v>0</v>
      </c>
      <c r="D36" s="2" t="s">
        <v>21</v>
      </c>
      <c r="E36" s="2">
        <v>24</v>
      </c>
      <c r="F36" s="2">
        <v>65</v>
      </c>
      <c r="G36" s="2">
        <f t="shared" si="0"/>
        <v>89</v>
      </c>
      <c r="H36" s="2" t="s">
        <v>2</v>
      </c>
      <c r="I36" s="2"/>
    </row>
    <row r="37" spans="1:9" x14ac:dyDescent="0.3">
      <c r="A37" s="2">
        <v>31</v>
      </c>
      <c r="B37" s="6">
        <v>46053</v>
      </c>
      <c r="C37" s="2" t="s">
        <v>0</v>
      </c>
      <c r="D37" s="2" t="s">
        <v>21</v>
      </c>
      <c r="E37" s="2">
        <v>24</v>
      </c>
      <c r="F37" s="2">
        <v>65</v>
      </c>
      <c r="G37" s="2">
        <f t="shared" si="0"/>
        <v>89</v>
      </c>
      <c r="H37" s="2" t="s">
        <v>2</v>
      </c>
      <c r="I37" s="2"/>
    </row>
    <row r="38" spans="1:9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ht="15.6" x14ac:dyDescent="0.3">
      <c r="A39" s="2"/>
      <c r="B39" s="2"/>
      <c r="C39" s="2"/>
      <c r="D39" s="134" t="s">
        <v>17</v>
      </c>
      <c r="E39" s="135"/>
      <c r="F39" s="135"/>
      <c r="G39" s="133">
        <f>SUM(G7:G37)</f>
        <v>3004</v>
      </c>
      <c r="H39" s="133"/>
      <c r="I39" s="2"/>
    </row>
    <row r="40" spans="1:9" x14ac:dyDescent="0.3">
      <c r="A40" s="2"/>
      <c r="B40" s="2"/>
      <c r="C40" s="123" t="s">
        <v>18</v>
      </c>
      <c r="D40" s="123"/>
      <c r="E40" s="123"/>
      <c r="F40" s="123"/>
      <c r="G40" s="2">
        <v>3</v>
      </c>
      <c r="H40" s="2"/>
      <c r="I40" s="2"/>
    </row>
    <row r="41" spans="1:9" ht="18" x14ac:dyDescent="0.35">
      <c r="A41" s="2"/>
      <c r="B41" s="2"/>
      <c r="C41" s="123" t="s">
        <v>19</v>
      </c>
      <c r="D41" s="123"/>
      <c r="E41" s="123"/>
      <c r="F41" s="123"/>
      <c r="G41" s="124">
        <f>G39*G40</f>
        <v>9012</v>
      </c>
      <c r="H41" s="124"/>
      <c r="I41" s="2"/>
    </row>
    <row r="42" spans="1:9" x14ac:dyDescent="0.3">
      <c r="A42" s="120" t="s">
        <v>25</v>
      </c>
      <c r="B42" s="121"/>
      <c r="C42" s="121"/>
      <c r="D42" s="121"/>
      <c r="E42" s="121"/>
      <c r="F42" s="121"/>
      <c r="G42" s="121"/>
      <c r="H42" s="121"/>
      <c r="I42" s="122"/>
    </row>
  </sheetData>
  <mergeCells count="10">
    <mergeCell ref="A42:I42"/>
    <mergeCell ref="C40:F40"/>
    <mergeCell ref="C41:F41"/>
    <mergeCell ref="G41:H41"/>
    <mergeCell ref="A1:D1"/>
    <mergeCell ref="H2:I2"/>
    <mergeCell ref="A2:C2"/>
    <mergeCell ref="A3:C3"/>
    <mergeCell ref="G39:H39"/>
    <mergeCell ref="D39:F39"/>
  </mergeCells>
  <pageMargins left="0.42499999999999999" right="0.25" top="1.0583333333333333" bottom="0.75" header="0.3" footer="0.3"/>
  <pageSetup paperSize="9" orientation="portrait" r:id="rId1"/>
  <headerFooter>
    <oddHeader>&amp;C&amp;"-,Bold"&amp;14January -2026 Expensive&amp;"-,Regular"&amp;11
&amp;"-,Bold"&amp;14M/s Clean Room Technologies Private Limited</oddHeader>
    <oddFooter>&amp;L&amp;"-,Bold"KARTHIK RATNA &amp;C&amp;"-,Bold"REVIEWED BY&amp;R&amp;"-,Bold"APPROVED BY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3952-B527-45A7-83EB-57474EC01DCD}">
  <dimension ref="A2:P16"/>
  <sheetViews>
    <sheetView view="pageLayout" zoomScale="97" zoomScaleNormal="100" zoomScalePageLayoutView="97" workbookViewId="0">
      <selection activeCell="E5" sqref="E5"/>
    </sheetView>
  </sheetViews>
  <sheetFormatPr defaultRowHeight="14.4" x14ac:dyDescent="0.3"/>
  <cols>
    <col min="1" max="1" width="10.5546875" style="18" bestFit="1" customWidth="1"/>
    <col min="2" max="3" width="7.88671875" customWidth="1"/>
    <col min="4" max="12" width="7.88671875" bestFit="1" customWidth="1"/>
    <col min="14" max="15" width="7.88671875" bestFit="1" customWidth="1"/>
    <col min="16" max="16" width="8.109375" customWidth="1"/>
    <col min="17" max="17" width="6.21875" customWidth="1"/>
  </cols>
  <sheetData>
    <row r="2" spans="1:16" ht="34.799999999999997" customHeight="1" x14ac:dyDescent="0.3">
      <c r="A2" s="34" t="s">
        <v>37</v>
      </c>
      <c r="B2" s="19">
        <v>46023</v>
      </c>
      <c r="C2" s="19">
        <v>46024</v>
      </c>
      <c r="D2" s="19">
        <v>46025</v>
      </c>
      <c r="E2" s="19">
        <v>46026</v>
      </c>
      <c r="F2" s="19">
        <v>46027</v>
      </c>
      <c r="G2" s="19">
        <v>46028</v>
      </c>
      <c r="H2" s="19">
        <v>46029</v>
      </c>
      <c r="I2" s="19">
        <v>46030</v>
      </c>
      <c r="J2" s="19">
        <v>46031</v>
      </c>
      <c r="K2" s="19">
        <v>46032</v>
      </c>
      <c r="L2" s="25">
        <v>46033</v>
      </c>
      <c r="M2" s="19">
        <v>46034</v>
      </c>
      <c r="N2" s="19">
        <v>46035</v>
      </c>
      <c r="O2" s="19">
        <v>46036</v>
      </c>
      <c r="P2" s="25">
        <v>46037</v>
      </c>
    </row>
    <row r="3" spans="1:16" ht="33" customHeight="1" x14ac:dyDescent="0.3">
      <c r="A3" s="23" t="s">
        <v>27</v>
      </c>
      <c r="B3" s="21" t="s">
        <v>34</v>
      </c>
      <c r="C3" s="21" t="s">
        <v>34</v>
      </c>
      <c r="D3" s="21" t="s">
        <v>34</v>
      </c>
      <c r="E3" s="21" t="s">
        <v>22</v>
      </c>
      <c r="F3" s="32" t="s">
        <v>33</v>
      </c>
      <c r="G3" s="21" t="s">
        <v>34</v>
      </c>
      <c r="H3" s="21" t="s">
        <v>34</v>
      </c>
      <c r="I3" s="21" t="s">
        <v>34</v>
      </c>
      <c r="J3" s="21" t="s">
        <v>34</v>
      </c>
      <c r="K3" s="21" t="s">
        <v>34</v>
      </c>
      <c r="L3" s="32" t="s">
        <v>22</v>
      </c>
      <c r="M3" s="21" t="s">
        <v>34</v>
      </c>
      <c r="N3" s="21" t="s">
        <v>34</v>
      </c>
      <c r="O3" s="21" t="s">
        <v>34</v>
      </c>
      <c r="P3" s="32" t="s">
        <v>35</v>
      </c>
    </row>
    <row r="4" spans="1:16" ht="29.4" customHeight="1" x14ac:dyDescent="0.3">
      <c r="A4" s="24" t="s">
        <v>28</v>
      </c>
      <c r="B4" s="20" t="s">
        <v>33</v>
      </c>
      <c r="C4" s="21" t="s">
        <v>34</v>
      </c>
      <c r="D4" s="21" t="s">
        <v>34</v>
      </c>
      <c r="E4" s="21" t="s">
        <v>22</v>
      </c>
      <c r="F4" s="21" t="s">
        <v>34</v>
      </c>
      <c r="G4" s="21" t="s">
        <v>34</v>
      </c>
      <c r="H4" s="21" t="s">
        <v>34</v>
      </c>
      <c r="I4" s="21" t="s">
        <v>34</v>
      </c>
      <c r="J4" s="21" t="s">
        <v>34</v>
      </c>
      <c r="K4" s="21" t="s">
        <v>34</v>
      </c>
      <c r="L4" s="32" t="s">
        <v>22</v>
      </c>
      <c r="M4" s="21" t="s">
        <v>38</v>
      </c>
      <c r="N4" s="21" t="s">
        <v>38</v>
      </c>
      <c r="O4" s="21" t="s">
        <v>38</v>
      </c>
      <c r="P4" s="32" t="s">
        <v>35</v>
      </c>
    </row>
    <row r="5" spans="1:16" ht="37.200000000000003" customHeight="1" x14ac:dyDescent="0.3">
      <c r="A5" s="23" t="s">
        <v>29</v>
      </c>
      <c r="B5" s="20" t="s">
        <v>33</v>
      </c>
      <c r="C5" s="21" t="s">
        <v>34</v>
      </c>
      <c r="D5" s="21" t="s">
        <v>34</v>
      </c>
      <c r="E5" s="21" t="s">
        <v>22</v>
      </c>
      <c r="F5" s="21" t="s">
        <v>34</v>
      </c>
      <c r="G5" s="21" t="s">
        <v>34</v>
      </c>
      <c r="H5" s="21" t="s">
        <v>34</v>
      </c>
      <c r="I5" s="21" t="s">
        <v>34</v>
      </c>
      <c r="J5" s="21" t="s">
        <v>34</v>
      </c>
      <c r="K5" s="21" t="s">
        <v>34</v>
      </c>
      <c r="L5" s="32" t="s">
        <v>22</v>
      </c>
      <c r="M5" s="21" t="s">
        <v>34</v>
      </c>
      <c r="N5" s="21" t="s">
        <v>34</v>
      </c>
      <c r="O5" s="21" t="s">
        <v>34</v>
      </c>
      <c r="P5" s="32" t="s">
        <v>35</v>
      </c>
    </row>
    <row r="6" spans="1:16" ht="31.8" customHeight="1" x14ac:dyDescent="0.3">
      <c r="A6" s="24" t="s">
        <v>30</v>
      </c>
      <c r="B6" s="20" t="s">
        <v>33</v>
      </c>
      <c r="C6" s="21" t="s">
        <v>34</v>
      </c>
      <c r="D6" s="21" t="s">
        <v>34</v>
      </c>
      <c r="E6" s="21" t="s">
        <v>22</v>
      </c>
      <c r="F6" s="21" t="s">
        <v>34</v>
      </c>
      <c r="G6" s="21" t="s">
        <v>34</v>
      </c>
      <c r="H6" s="21" t="s">
        <v>34</v>
      </c>
      <c r="I6" s="21" t="s">
        <v>34</v>
      </c>
      <c r="J6" s="32" t="s">
        <v>33</v>
      </c>
      <c r="K6" s="21" t="s">
        <v>34</v>
      </c>
      <c r="L6" s="32" t="s">
        <v>22</v>
      </c>
      <c r="M6" s="21" t="s">
        <v>34</v>
      </c>
      <c r="N6" s="21" t="s">
        <v>34</v>
      </c>
      <c r="O6" s="21" t="s">
        <v>34</v>
      </c>
      <c r="P6" s="32" t="s">
        <v>35</v>
      </c>
    </row>
    <row r="7" spans="1:16" ht="31.2" customHeight="1" x14ac:dyDescent="0.3">
      <c r="A7" s="24" t="s">
        <v>31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1" t="s">
        <v>34</v>
      </c>
      <c r="N7" s="21" t="s">
        <v>34</v>
      </c>
      <c r="O7" s="21" t="s">
        <v>34</v>
      </c>
      <c r="P7" s="32" t="s">
        <v>35</v>
      </c>
    </row>
    <row r="8" spans="1:16" ht="33.6" customHeight="1" x14ac:dyDescent="0.3">
      <c r="A8" s="24" t="s">
        <v>32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1" t="s">
        <v>34</v>
      </c>
      <c r="N8" s="21" t="s">
        <v>34</v>
      </c>
      <c r="O8" s="21" t="s">
        <v>34</v>
      </c>
      <c r="P8" s="32" t="s">
        <v>35</v>
      </c>
    </row>
    <row r="9" spans="1:16" ht="22.2" customHeight="1" thickBot="1" x14ac:dyDescent="0.35"/>
    <row r="10" spans="1:16" ht="24.6" customHeight="1" thickBot="1" x14ac:dyDescent="0.35">
      <c r="A10" s="28"/>
      <c r="B10" s="29">
        <v>46038</v>
      </c>
      <c r="C10" s="29">
        <v>46039</v>
      </c>
      <c r="D10" s="30">
        <v>46040</v>
      </c>
      <c r="E10" s="29">
        <v>46041</v>
      </c>
      <c r="F10" s="29">
        <v>46042</v>
      </c>
      <c r="G10" s="29">
        <v>46043</v>
      </c>
      <c r="H10" s="29">
        <v>46044</v>
      </c>
      <c r="I10" s="29">
        <v>46045</v>
      </c>
      <c r="J10" s="29">
        <v>46046</v>
      </c>
      <c r="K10" s="29">
        <v>46047</v>
      </c>
      <c r="L10" s="30">
        <v>46048</v>
      </c>
      <c r="M10" s="29">
        <v>46049</v>
      </c>
      <c r="N10" s="29">
        <v>46050</v>
      </c>
      <c r="O10" s="29">
        <v>46051</v>
      </c>
      <c r="P10" s="31">
        <v>46052</v>
      </c>
    </row>
    <row r="11" spans="1:16" ht="27.6" customHeight="1" x14ac:dyDescent="0.3">
      <c r="A11" s="26" t="s">
        <v>27</v>
      </c>
      <c r="B11" s="27" t="s">
        <v>34</v>
      </c>
      <c r="C11" s="27" t="s">
        <v>34</v>
      </c>
      <c r="D11" s="33" t="s">
        <v>22</v>
      </c>
      <c r="E11" s="27" t="s">
        <v>34</v>
      </c>
      <c r="F11" s="27" t="s">
        <v>34</v>
      </c>
      <c r="G11" s="27" t="s">
        <v>34</v>
      </c>
      <c r="H11" s="27" t="s">
        <v>34</v>
      </c>
      <c r="I11" s="27" t="s">
        <v>34</v>
      </c>
      <c r="J11" s="27" t="s">
        <v>34</v>
      </c>
      <c r="K11" s="27" t="s">
        <v>34</v>
      </c>
      <c r="L11" s="33" t="s">
        <v>36</v>
      </c>
      <c r="M11" s="27" t="s">
        <v>34</v>
      </c>
      <c r="N11" s="27" t="s">
        <v>34</v>
      </c>
      <c r="O11" s="27" t="s">
        <v>34</v>
      </c>
      <c r="P11" s="27" t="s">
        <v>34</v>
      </c>
    </row>
    <row r="12" spans="1:16" ht="25.2" customHeight="1" x14ac:dyDescent="0.3">
      <c r="A12" s="23" t="s">
        <v>28</v>
      </c>
      <c r="B12" s="21" t="s">
        <v>38</v>
      </c>
      <c r="C12" s="21" t="s">
        <v>38</v>
      </c>
      <c r="D12" s="21" t="s">
        <v>38</v>
      </c>
      <c r="E12" s="21" t="s">
        <v>38</v>
      </c>
      <c r="F12" s="21" t="s">
        <v>38</v>
      </c>
      <c r="G12" s="21" t="s">
        <v>38</v>
      </c>
      <c r="H12" s="21" t="s">
        <v>38</v>
      </c>
      <c r="I12" s="21" t="s">
        <v>38</v>
      </c>
      <c r="J12" s="21" t="s">
        <v>34</v>
      </c>
      <c r="K12" s="21" t="s">
        <v>34</v>
      </c>
      <c r="L12" s="32" t="s">
        <v>36</v>
      </c>
      <c r="M12" s="21" t="s">
        <v>38</v>
      </c>
      <c r="N12" s="21" t="s">
        <v>38</v>
      </c>
      <c r="O12" s="21" t="s">
        <v>38</v>
      </c>
      <c r="P12" s="21" t="s">
        <v>38</v>
      </c>
    </row>
    <row r="13" spans="1:16" ht="27.6" customHeight="1" x14ac:dyDescent="0.3">
      <c r="A13" s="23" t="s">
        <v>29</v>
      </c>
      <c r="B13" s="21" t="s">
        <v>34</v>
      </c>
      <c r="C13" s="21" t="s">
        <v>34</v>
      </c>
      <c r="D13" s="32" t="s">
        <v>22</v>
      </c>
      <c r="E13" s="21" t="s">
        <v>34</v>
      </c>
      <c r="F13" s="21" t="s">
        <v>34</v>
      </c>
      <c r="G13" s="21" t="s">
        <v>34</v>
      </c>
      <c r="H13" s="21" t="s">
        <v>34</v>
      </c>
      <c r="I13" s="21" t="s">
        <v>34</v>
      </c>
      <c r="J13" s="21" t="s">
        <v>34</v>
      </c>
      <c r="K13" s="21" t="s">
        <v>34</v>
      </c>
      <c r="L13" s="32" t="s">
        <v>36</v>
      </c>
      <c r="M13" s="21" t="s">
        <v>34</v>
      </c>
      <c r="N13" s="21" t="s">
        <v>34</v>
      </c>
      <c r="O13" s="21" t="s">
        <v>34</v>
      </c>
      <c r="P13" s="21" t="s">
        <v>34</v>
      </c>
    </row>
    <row r="14" spans="1:16" ht="31.8" customHeight="1" x14ac:dyDescent="0.3">
      <c r="A14" s="23" t="s">
        <v>30</v>
      </c>
      <c r="B14" s="21" t="s">
        <v>34</v>
      </c>
      <c r="C14" s="21" t="s">
        <v>34</v>
      </c>
      <c r="D14" s="32" t="s">
        <v>22</v>
      </c>
      <c r="E14" s="21" t="s">
        <v>34</v>
      </c>
      <c r="F14" s="21" t="s">
        <v>34</v>
      </c>
      <c r="G14" s="21" t="s">
        <v>34</v>
      </c>
      <c r="H14" s="21" t="s">
        <v>34</v>
      </c>
      <c r="I14" s="21" t="s">
        <v>34</v>
      </c>
      <c r="J14" s="21" t="s">
        <v>34</v>
      </c>
      <c r="K14" s="21" t="s">
        <v>34</v>
      </c>
      <c r="L14" s="32" t="s">
        <v>36</v>
      </c>
      <c r="M14" s="21" t="s">
        <v>34</v>
      </c>
      <c r="N14" s="21" t="s">
        <v>34</v>
      </c>
      <c r="O14" s="21" t="s">
        <v>34</v>
      </c>
      <c r="P14" s="21" t="s">
        <v>34</v>
      </c>
    </row>
    <row r="15" spans="1:16" ht="28.2" customHeight="1" x14ac:dyDescent="0.3">
      <c r="A15" s="23" t="s">
        <v>31</v>
      </c>
      <c r="B15" s="21" t="s">
        <v>34</v>
      </c>
      <c r="C15" s="21" t="s">
        <v>34</v>
      </c>
      <c r="D15" s="32" t="s">
        <v>22</v>
      </c>
      <c r="E15" s="21" t="s">
        <v>34</v>
      </c>
      <c r="F15" s="21" t="s">
        <v>34</v>
      </c>
      <c r="G15" s="21" t="s">
        <v>34</v>
      </c>
      <c r="H15" s="21" t="s">
        <v>34</v>
      </c>
      <c r="I15" s="21" t="s">
        <v>34</v>
      </c>
      <c r="J15" s="21" t="s">
        <v>34</v>
      </c>
      <c r="K15" s="21" t="s">
        <v>34</v>
      </c>
      <c r="L15" s="32" t="s">
        <v>36</v>
      </c>
      <c r="M15" s="21" t="s">
        <v>34</v>
      </c>
      <c r="N15" s="21" t="s">
        <v>34</v>
      </c>
      <c r="O15" s="21" t="s">
        <v>34</v>
      </c>
      <c r="P15" s="21" t="s">
        <v>34</v>
      </c>
    </row>
    <row r="16" spans="1:16" ht="33.6" customHeight="1" x14ac:dyDescent="0.3">
      <c r="A16" s="23" t="s">
        <v>32</v>
      </c>
      <c r="B16" s="21" t="s">
        <v>34</v>
      </c>
      <c r="C16" s="21" t="s">
        <v>34</v>
      </c>
      <c r="D16" s="32" t="s">
        <v>22</v>
      </c>
      <c r="E16" s="21" t="s">
        <v>34</v>
      </c>
      <c r="F16" s="21" t="s">
        <v>34</v>
      </c>
      <c r="G16" s="21" t="s">
        <v>34</v>
      </c>
      <c r="H16" s="21" t="s">
        <v>34</v>
      </c>
      <c r="I16" s="21" t="s">
        <v>34</v>
      </c>
      <c r="J16" s="21" t="s">
        <v>34</v>
      </c>
      <c r="K16" s="21" t="s">
        <v>34</v>
      </c>
      <c r="L16" s="32" t="s">
        <v>36</v>
      </c>
      <c r="M16" s="21" t="s">
        <v>34</v>
      </c>
      <c r="N16" s="21" t="s">
        <v>34</v>
      </c>
      <c r="O16" s="21" t="s">
        <v>34</v>
      </c>
      <c r="P16" s="21" t="s">
        <v>34</v>
      </c>
    </row>
  </sheetData>
  <pageMargins left="0.25" right="0.21666666666666667" top="0.75" bottom="0.75" header="0.3" footer="0.3"/>
  <pageSetup orientation="landscape" r:id="rId1"/>
  <headerFooter>
    <oddHeader>&amp;C&amp;"-,Bold"&amp;14Attendance Sheet&amp;R&amp;"-,Bold"01-01-2026 TO 31-01-2026
NewAtoms Labs ( Chityala Site )</oddHeader>
    <oddFooter>&amp;L&amp;"-,Bold"Site Engineer&amp;C&amp;"-,Bold"Reviewed By&amp;R&amp;"-,Bold"Apporval By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2D34-0EA8-4FB5-B6AC-F734AE175F04}">
  <dimension ref="A1:P17"/>
  <sheetViews>
    <sheetView view="pageLayout" zoomScaleNormal="100" workbookViewId="0">
      <selection activeCell="C3" sqref="C3"/>
    </sheetView>
  </sheetViews>
  <sheetFormatPr defaultRowHeight="13.8" x14ac:dyDescent="0.25"/>
  <cols>
    <col min="1" max="1" width="13.77734375" style="36" customWidth="1"/>
    <col min="2" max="15" width="8.5546875" style="37" customWidth="1"/>
    <col min="16" max="16" width="6.5546875" style="37" customWidth="1"/>
    <col min="17" max="16384" width="8.88671875" style="36"/>
  </cols>
  <sheetData>
    <row r="1" spans="1:16" ht="28.2" customHeight="1" thickBot="1" x14ac:dyDescent="0.3">
      <c r="A1" s="46" t="s">
        <v>39</v>
      </c>
      <c r="B1" s="47">
        <v>46054</v>
      </c>
      <c r="C1" s="47">
        <v>46055</v>
      </c>
      <c r="D1" s="47">
        <v>46056</v>
      </c>
      <c r="E1" s="47">
        <v>46057</v>
      </c>
      <c r="F1" s="47">
        <v>46058</v>
      </c>
      <c r="G1" s="47">
        <v>46059</v>
      </c>
      <c r="H1" s="47">
        <v>46060</v>
      </c>
      <c r="I1" s="47">
        <v>46061</v>
      </c>
      <c r="J1" s="47">
        <v>46062</v>
      </c>
      <c r="K1" s="47">
        <v>46063</v>
      </c>
      <c r="L1" s="47">
        <v>46064</v>
      </c>
      <c r="M1" s="47">
        <v>46065</v>
      </c>
      <c r="N1" s="47">
        <v>46066</v>
      </c>
      <c r="O1" s="47">
        <v>46067</v>
      </c>
      <c r="P1" s="48">
        <v>46068</v>
      </c>
    </row>
    <row r="3" spans="1:16" ht="33.6" customHeight="1" x14ac:dyDescent="0.25">
      <c r="A3" s="44" t="s">
        <v>40</v>
      </c>
      <c r="B3" s="42" t="s">
        <v>44</v>
      </c>
      <c r="C3" s="21" t="s">
        <v>34</v>
      </c>
      <c r="D3" s="21" t="s">
        <v>34</v>
      </c>
      <c r="E3" s="21" t="s">
        <v>34</v>
      </c>
      <c r="F3" s="21" t="s">
        <v>34</v>
      </c>
      <c r="G3" s="21" t="s">
        <v>34</v>
      </c>
      <c r="H3" s="21" t="s">
        <v>34</v>
      </c>
      <c r="I3" s="42" t="s">
        <v>44</v>
      </c>
      <c r="J3" s="43" t="s">
        <v>45</v>
      </c>
      <c r="K3" s="21" t="s">
        <v>34</v>
      </c>
      <c r="L3" s="21" t="s">
        <v>34</v>
      </c>
      <c r="M3" s="21" t="s">
        <v>34</v>
      </c>
      <c r="N3" s="21" t="s">
        <v>34</v>
      </c>
      <c r="O3" s="21" t="s">
        <v>34</v>
      </c>
      <c r="P3" s="42" t="s">
        <v>44</v>
      </c>
    </row>
    <row r="4" spans="1:16" ht="30.6" customHeight="1" x14ac:dyDescent="0.25">
      <c r="A4" s="44" t="s">
        <v>41</v>
      </c>
      <c r="B4" s="42" t="s">
        <v>44</v>
      </c>
      <c r="C4" s="21" t="s">
        <v>34</v>
      </c>
      <c r="D4" s="21" t="s">
        <v>34</v>
      </c>
      <c r="E4" s="21" t="s">
        <v>34</v>
      </c>
      <c r="F4" s="21" t="s">
        <v>34</v>
      </c>
      <c r="G4" s="21" t="s">
        <v>34</v>
      </c>
      <c r="H4" s="21" t="s">
        <v>34</v>
      </c>
      <c r="I4" s="42" t="s">
        <v>44</v>
      </c>
      <c r="J4" s="21" t="s">
        <v>34</v>
      </c>
      <c r="K4" s="21" t="s">
        <v>34</v>
      </c>
      <c r="L4" s="21" t="s">
        <v>34</v>
      </c>
      <c r="M4" s="21" t="s">
        <v>34</v>
      </c>
      <c r="N4" s="21" t="s">
        <v>34</v>
      </c>
      <c r="O4" s="21" t="s">
        <v>34</v>
      </c>
      <c r="P4" s="42" t="s">
        <v>44</v>
      </c>
    </row>
    <row r="5" spans="1:16" ht="28.2" customHeight="1" x14ac:dyDescent="0.25">
      <c r="A5" s="44" t="s">
        <v>42</v>
      </c>
      <c r="B5" s="42" t="s">
        <v>22</v>
      </c>
      <c r="C5" s="43" t="s">
        <v>45</v>
      </c>
      <c r="D5" s="21" t="s">
        <v>34</v>
      </c>
      <c r="E5" s="21" t="s">
        <v>34</v>
      </c>
      <c r="F5" s="21" t="s">
        <v>34</v>
      </c>
      <c r="G5" s="21" t="s">
        <v>34</v>
      </c>
      <c r="H5" s="21" t="s">
        <v>34</v>
      </c>
      <c r="I5" s="42" t="s">
        <v>22</v>
      </c>
      <c r="J5" s="21" t="s">
        <v>34</v>
      </c>
      <c r="K5" s="21" t="s">
        <v>34</v>
      </c>
      <c r="L5" s="21" t="s">
        <v>34</v>
      </c>
      <c r="M5" s="21" t="s">
        <v>34</v>
      </c>
      <c r="N5" s="21" t="s">
        <v>34</v>
      </c>
      <c r="O5" s="21" t="s">
        <v>34</v>
      </c>
      <c r="P5" s="42" t="s">
        <v>22</v>
      </c>
    </row>
    <row r="6" spans="1:16" ht="31.8" customHeight="1" x14ac:dyDescent="0.25">
      <c r="A6" s="41" t="s">
        <v>29</v>
      </c>
      <c r="B6" s="42" t="s">
        <v>22</v>
      </c>
      <c r="C6" s="21" t="s">
        <v>34</v>
      </c>
      <c r="D6" s="21" t="s">
        <v>34</v>
      </c>
      <c r="E6" s="21" t="s">
        <v>34</v>
      </c>
      <c r="F6" s="21" t="s">
        <v>34</v>
      </c>
      <c r="G6" s="21" t="s">
        <v>34</v>
      </c>
      <c r="H6" s="21" t="s">
        <v>34</v>
      </c>
      <c r="I6" s="42" t="s">
        <v>22</v>
      </c>
      <c r="J6" s="21" t="s">
        <v>34</v>
      </c>
      <c r="K6" s="43" t="s">
        <v>45</v>
      </c>
      <c r="L6" s="43" t="s">
        <v>45</v>
      </c>
      <c r="M6" s="43" t="s">
        <v>45</v>
      </c>
      <c r="N6" s="43" t="s">
        <v>45</v>
      </c>
      <c r="O6" s="43" t="s">
        <v>45</v>
      </c>
      <c r="P6" s="42" t="s">
        <v>22</v>
      </c>
    </row>
    <row r="7" spans="1:16" ht="31.2" customHeight="1" x14ac:dyDescent="0.25">
      <c r="A7" s="41" t="s">
        <v>32</v>
      </c>
      <c r="B7" s="42" t="s">
        <v>22</v>
      </c>
      <c r="C7" s="21" t="s">
        <v>34</v>
      </c>
      <c r="D7" s="21" t="s">
        <v>34</v>
      </c>
      <c r="E7" s="21" t="s">
        <v>34</v>
      </c>
      <c r="F7" s="21" t="s">
        <v>34</v>
      </c>
      <c r="G7" s="21" t="s">
        <v>34</v>
      </c>
      <c r="H7" s="21" t="s">
        <v>34</v>
      </c>
      <c r="I7" s="42" t="s">
        <v>22</v>
      </c>
      <c r="J7" s="21" t="s">
        <v>34</v>
      </c>
      <c r="K7" s="43" t="s">
        <v>45</v>
      </c>
      <c r="L7" s="43" t="s">
        <v>45</v>
      </c>
      <c r="M7" s="43" t="s">
        <v>45</v>
      </c>
      <c r="N7" s="43" t="s">
        <v>45</v>
      </c>
      <c r="O7" s="43" t="s">
        <v>45</v>
      </c>
      <c r="P7" s="42" t="s">
        <v>22</v>
      </c>
    </row>
    <row r="8" spans="1:16" x14ac:dyDescent="0.25">
      <c r="A8" s="45"/>
    </row>
    <row r="9" spans="1:16" x14ac:dyDescent="0.25">
      <c r="A9" s="45"/>
    </row>
    <row r="10" spans="1:16" x14ac:dyDescent="0.25">
      <c r="A10" s="45"/>
    </row>
    <row r="11" spans="1:16" ht="14.4" thickBot="1" x14ac:dyDescent="0.3">
      <c r="A11" s="45"/>
    </row>
    <row r="12" spans="1:16" ht="25.2" customHeight="1" thickBot="1" x14ac:dyDescent="0.3">
      <c r="A12" s="45"/>
      <c r="B12" s="38">
        <v>46038</v>
      </c>
      <c r="C12" s="38">
        <v>46039</v>
      </c>
      <c r="D12" s="38">
        <v>46040</v>
      </c>
      <c r="E12" s="38">
        <v>46041</v>
      </c>
      <c r="F12" s="38">
        <v>46042</v>
      </c>
      <c r="G12" s="38">
        <v>46043</v>
      </c>
      <c r="H12" s="38">
        <v>46044</v>
      </c>
      <c r="I12" s="38">
        <v>46045</v>
      </c>
      <c r="J12" s="38">
        <v>46046</v>
      </c>
      <c r="K12" s="38">
        <v>46047</v>
      </c>
      <c r="L12" s="38">
        <v>46048</v>
      </c>
      <c r="M12" s="38">
        <v>46049</v>
      </c>
      <c r="N12" s="38">
        <v>46050</v>
      </c>
      <c r="O12" s="38"/>
      <c r="P12" s="39"/>
    </row>
    <row r="13" spans="1:16" ht="28.8" customHeight="1" x14ac:dyDescent="0.25">
      <c r="A13" s="44" t="s">
        <v>40</v>
      </c>
      <c r="B13" s="21" t="s">
        <v>34</v>
      </c>
      <c r="C13" s="21" t="s">
        <v>34</v>
      </c>
      <c r="D13" s="21" t="s">
        <v>34</v>
      </c>
      <c r="E13" s="21" t="s">
        <v>34</v>
      </c>
      <c r="F13" s="21" t="s">
        <v>34</v>
      </c>
      <c r="G13" s="21" t="s">
        <v>34</v>
      </c>
      <c r="H13" s="42" t="s">
        <v>44</v>
      </c>
      <c r="I13" s="21" t="s">
        <v>34</v>
      </c>
      <c r="J13" s="43" t="s">
        <v>43</v>
      </c>
      <c r="K13" s="43" t="s">
        <v>43</v>
      </c>
      <c r="L13" s="21" t="s">
        <v>34</v>
      </c>
      <c r="M13" s="21" t="s">
        <v>34</v>
      </c>
      <c r="N13" s="21" t="s">
        <v>34</v>
      </c>
      <c r="O13" s="21"/>
      <c r="P13" s="21"/>
    </row>
    <row r="14" spans="1:16" ht="37.200000000000003" customHeight="1" x14ac:dyDescent="0.25">
      <c r="A14" s="44" t="s">
        <v>41</v>
      </c>
      <c r="B14" s="21" t="s">
        <v>34</v>
      </c>
      <c r="C14" s="21" t="s">
        <v>34</v>
      </c>
      <c r="D14" s="21" t="s">
        <v>34</v>
      </c>
      <c r="E14" s="21" t="s">
        <v>34</v>
      </c>
      <c r="F14" s="21" t="s">
        <v>34</v>
      </c>
      <c r="G14" s="21" t="s">
        <v>34</v>
      </c>
      <c r="H14" s="42" t="s">
        <v>44</v>
      </c>
      <c r="I14" s="21" t="s">
        <v>34</v>
      </c>
      <c r="J14" s="21" t="s">
        <v>34</v>
      </c>
      <c r="K14" s="21" t="s">
        <v>34</v>
      </c>
      <c r="L14" s="21" t="s">
        <v>34</v>
      </c>
      <c r="M14" s="21" t="s">
        <v>34</v>
      </c>
      <c r="N14" s="21" t="s">
        <v>34</v>
      </c>
      <c r="O14" s="21"/>
      <c r="P14" s="21"/>
    </row>
    <row r="15" spans="1:16" ht="31.8" customHeight="1" x14ac:dyDescent="0.25">
      <c r="A15" s="44" t="s">
        <v>42</v>
      </c>
      <c r="B15" s="21" t="s">
        <v>34</v>
      </c>
      <c r="C15" s="21" t="s">
        <v>34</v>
      </c>
      <c r="D15" s="21" t="s">
        <v>34</v>
      </c>
      <c r="E15" s="21" t="s">
        <v>34</v>
      </c>
      <c r="F15" s="21" t="s">
        <v>34</v>
      </c>
      <c r="G15" s="21" t="s">
        <v>34</v>
      </c>
      <c r="H15" s="42" t="s">
        <v>22</v>
      </c>
      <c r="I15" s="21" t="s">
        <v>34</v>
      </c>
      <c r="J15" s="21" t="s">
        <v>34</v>
      </c>
      <c r="K15" s="21" t="s">
        <v>34</v>
      </c>
      <c r="L15" s="21" t="s">
        <v>34</v>
      </c>
      <c r="M15" s="21" t="s">
        <v>34</v>
      </c>
      <c r="N15" s="21" t="s">
        <v>34</v>
      </c>
      <c r="O15" s="21"/>
      <c r="P15" s="21"/>
    </row>
    <row r="16" spans="1:16" x14ac:dyDescent="0.25">
      <c r="H16" s="40"/>
    </row>
    <row r="17" spans="8:8" x14ac:dyDescent="0.25">
      <c r="H17" s="40"/>
    </row>
  </sheetData>
  <phoneticPr fontId="17" type="noConversion"/>
  <pageMargins left="0" right="0" top="0.81666666666666665" bottom="0.74803149606299213" header="0.31496062992125984" footer="0.31496062992125984"/>
  <pageSetup orientation="landscape" r:id="rId1"/>
  <headerFooter>
    <oddHeader>&amp;C&amp;"-,Bold"&amp;14Attendance Sheet&amp;R&amp;"-,Bold"&amp;10 01-02-2026  To 28-02-2026
NewAtoms Labs ( Chityala Site &amp;"-,Regular"&amp;8)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9C5B-E931-4982-926C-A7ED462156D6}">
  <dimension ref="A1:I40"/>
  <sheetViews>
    <sheetView view="pageLayout" topLeftCell="A19" zoomScaleNormal="100" workbookViewId="0">
      <selection activeCell="D36" sqref="C36:G38"/>
    </sheetView>
  </sheetViews>
  <sheetFormatPr defaultRowHeight="13.8" x14ac:dyDescent="0.25"/>
  <cols>
    <col min="1" max="1" width="4.33203125" style="36" customWidth="1"/>
    <col min="2" max="2" width="9.33203125" style="36" bestFit="1" customWidth="1"/>
    <col min="3" max="3" width="17.33203125" style="36" customWidth="1"/>
    <col min="4" max="4" width="19.5546875" style="36" customWidth="1"/>
    <col min="5" max="5" width="6.5546875" style="36" customWidth="1"/>
    <col min="6" max="6" width="6.21875" style="36" customWidth="1"/>
    <col min="7" max="7" width="8.88671875" style="36" customWidth="1"/>
    <col min="8" max="8" width="20.6640625" style="36" customWidth="1"/>
    <col min="9" max="9" width="8.44140625" style="36" customWidth="1"/>
    <col min="10" max="16384" width="8.88671875" style="36"/>
  </cols>
  <sheetData>
    <row r="1" spans="1:9" x14ac:dyDescent="0.25">
      <c r="A1" s="140" t="s">
        <v>47</v>
      </c>
      <c r="B1" s="140"/>
      <c r="C1" s="140"/>
      <c r="D1" s="60"/>
      <c r="E1" s="61"/>
      <c r="F1" s="61"/>
      <c r="G1" s="61"/>
      <c r="H1" s="141" t="s">
        <v>49</v>
      </c>
      <c r="I1" s="141"/>
    </row>
    <row r="2" spans="1:9" ht="14.4" customHeight="1" x14ac:dyDescent="0.25">
      <c r="A2" s="140" t="s">
        <v>16</v>
      </c>
      <c r="B2" s="140"/>
      <c r="C2" s="140"/>
      <c r="D2" s="61"/>
      <c r="E2" s="61"/>
      <c r="F2" s="61"/>
      <c r="G2" s="139" t="s">
        <v>48</v>
      </c>
      <c r="H2" s="139"/>
      <c r="I2" s="139"/>
    </row>
    <row r="3" spans="1:9" x14ac:dyDescent="0.25">
      <c r="A3" s="61"/>
      <c r="B3" s="61"/>
      <c r="C3" s="61"/>
      <c r="D3" s="61"/>
      <c r="E3" s="61"/>
      <c r="F3" s="61"/>
      <c r="G3" s="61"/>
      <c r="H3" s="141" t="s">
        <v>46</v>
      </c>
      <c r="I3" s="141"/>
    </row>
    <row r="5" spans="1:9" ht="27.6" x14ac:dyDescent="0.25">
      <c r="A5" s="49" t="s">
        <v>6</v>
      </c>
      <c r="B5" s="49" t="s">
        <v>7</v>
      </c>
      <c r="C5" s="49" t="s">
        <v>8</v>
      </c>
      <c r="D5" s="49" t="s">
        <v>9</v>
      </c>
      <c r="E5" s="49" t="s">
        <v>10</v>
      </c>
      <c r="F5" s="35" t="s">
        <v>11</v>
      </c>
      <c r="G5" s="50" t="s">
        <v>12</v>
      </c>
      <c r="H5" s="49" t="s">
        <v>13</v>
      </c>
      <c r="I5" s="49" t="s">
        <v>14</v>
      </c>
    </row>
    <row r="6" spans="1:9" x14ac:dyDescent="0.25">
      <c r="A6" s="57"/>
      <c r="B6" s="57"/>
      <c r="C6" s="57"/>
      <c r="D6" s="57"/>
      <c r="E6" s="57"/>
      <c r="F6" s="57"/>
      <c r="G6" s="57"/>
      <c r="H6" s="57"/>
      <c r="I6" s="57"/>
    </row>
    <row r="7" spans="1:9" x14ac:dyDescent="0.25">
      <c r="A7" s="59">
        <v>1</v>
      </c>
      <c r="B7" s="54">
        <v>46054</v>
      </c>
      <c r="C7" s="56" t="s">
        <v>44</v>
      </c>
      <c r="D7" s="53"/>
      <c r="E7" s="53"/>
      <c r="F7" s="53"/>
      <c r="G7" s="53"/>
      <c r="H7" s="53"/>
      <c r="I7" s="57"/>
    </row>
    <row r="8" spans="1:9" x14ac:dyDescent="0.25">
      <c r="A8" s="59">
        <v>2</v>
      </c>
      <c r="B8" s="52">
        <v>46055</v>
      </c>
      <c r="C8" s="51" t="s">
        <v>0</v>
      </c>
      <c r="D8" s="55" t="s">
        <v>50</v>
      </c>
      <c r="E8" s="51">
        <v>24</v>
      </c>
      <c r="F8" s="51">
        <v>24</v>
      </c>
      <c r="G8" s="51">
        <f t="shared" ref="G8:G9" si="0">E8+F8</f>
        <v>48</v>
      </c>
      <c r="H8" s="51" t="s">
        <v>2</v>
      </c>
      <c r="I8" s="57"/>
    </row>
    <row r="9" spans="1:9" x14ac:dyDescent="0.25">
      <c r="A9" s="59">
        <v>3</v>
      </c>
      <c r="B9" s="52">
        <v>46056</v>
      </c>
      <c r="C9" s="51" t="s">
        <v>0</v>
      </c>
      <c r="D9" s="51" t="s">
        <v>1</v>
      </c>
      <c r="E9" s="51">
        <v>65</v>
      </c>
      <c r="F9" s="51">
        <v>65</v>
      </c>
      <c r="G9" s="51">
        <f t="shared" si="0"/>
        <v>130</v>
      </c>
      <c r="H9" s="51" t="s">
        <v>2</v>
      </c>
      <c r="I9" s="57"/>
    </row>
    <row r="10" spans="1:9" x14ac:dyDescent="0.25">
      <c r="A10" s="59">
        <v>4</v>
      </c>
      <c r="B10" s="52">
        <v>46057</v>
      </c>
      <c r="C10" s="51" t="s">
        <v>0</v>
      </c>
      <c r="D10" s="51" t="s">
        <v>1</v>
      </c>
      <c r="E10" s="51">
        <v>65</v>
      </c>
      <c r="F10" s="51">
        <v>65</v>
      </c>
      <c r="G10" s="51">
        <f t="shared" ref="G10:G34" si="1">E10+F10</f>
        <v>130</v>
      </c>
      <c r="H10" s="51" t="s">
        <v>2</v>
      </c>
      <c r="I10" s="57"/>
    </row>
    <row r="11" spans="1:9" x14ac:dyDescent="0.25">
      <c r="A11" s="59">
        <v>5</v>
      </c>
      <c r="B11" s="52">
        <v>46058</v>
      </c>
      <c r="C11" s="51" t="s">
        <v>0</v>
      </c>
      <c r="D11" s="51" t="s">
        <v>1</v>
      </c>
      <c r="E11" s="51">
        <v>65</v>
      </c>
      <c r="F11" s="51">
        <v>65</v>
      </c>
      <c r="G11" s="51">
        <f t="shared" si="1"/>
        <v>130</v>
      </c>
      <c r="H11" s="51" t="s">
        <v>2</v>
      </c>
      <c r="I11" s="57"/>
    </row>
    <row r="12" spans="1:9" x14ac:dyDescent="0.25">
      <c r="A12" s="59">
        <v>6</v>
      </c>
      <c r="B12" s="52">
        <v>46059</v>
      </c>
      <c r="C12" s="51" t="s">
        <v>0</v>
      </c>
      <c r="D12" s="51" t="s">
        <v>1</v>
      </c>
      <c r="E12" s="51">
        <v>65</v>
      </c>
      <c r="F12" s="51">
        <v>65</v>
      </c>
      <c r="G12" s="51">
        <f t="shared" si="1"/>
        <v>130</v>
      </c>
      <c r="H12" s="51" t="s">
        <v>2</v>
      </c>
      <c r="I12" s="57"/>
    </row>
    <row r="13" spans="1:9" x14ac:dyDescent="0.25">
      <c r="A13" s="59">
        <v>7</v>
      </c>
      <c r="B13" s="52">
        <v>46060</v>
      </c>
      <c r="C13" s="51" t="s">
        <v>0</v>
      </c>
      <c r="D13" s="51" t="s">
        <v>1</v>
      </c>
      <c r="E13" s="51">
        <v>65</v>
      </c>
      <c r="F13" s="51">
        <v>65</v>
      </c>
      <c r="G13" s="51">
        <f t="shared" si="1"/>
        <v>130</v>
      </c>
      <c r="H13" s="51" t="s">
        <v>2</v>
      </c>
      <c r="I13" s="57"/>
    </row>
    <row r="14" spans="1:9" x14ac:dyDescent="0.25">
      <c r="A14" s="59">
        <v>8</v>
      </c>
      <c r="B14" s="54">
        <v>46061</v>
      </c>
      <c r="C14" s="56" t="s">
        <v>44</v>
      </c>
      <c r="D14" s="53"/>
      <c r="E14" s="53"/>
      <c r="F14" s="53"/>
      <c r="G14" s="53"/>
      <c r="H14" s="53"/>
      <c r="I14" s="57"/>
    </row>
    <row r="15" spans="1:9" x14ac:dyDescent="0.25">
      <c r="A15" s="59">
        <v>9</v>
      </c>
      <c r="B15" s="52">
        <v>46062</v>
      </c>
      <c r="C15" s="51" t="s">
        <v>43</v>
      </c>
      <c r="D15" s="51"/>
      <c r="E15" s="51"/>
      <c r="F15" s="51"/>
      <c r="G15" s="51"/>
      <c r="H15" s="51"/>
      <c r="I15" s="57"/>
    </row>
    <row r="16" spans="1:9" x14ac:dyDescent="0.25">
      <c r="A16" s="59">
        <v>10</v>
      </c>
      <c r="B16" s="52">
        <v>46063</v>
      </c>
      <c r="C16" s="51" t="s">
        <v>0</v>
      </c>
      <c r="D16" s="51" t="s">
        <v>1</v>
      </c>
      <c r="E16" s="51">
        <v>65</v>
      </c>
      <c r="F16" s="51">
        <v>65</v>
      </c>
      <c r="G16" s="51">
        <f t="shared" si="1"/>
        <v>130</v>
      </c>
      <c r="H16" s="51" t="s">
        <v>2</v>
      </c>
      <c r="I16" s="57"/>
    </row>
    <row r="17" spans="1:9" x14ac:dyDescent="0.25">
      <c r="A17" s="59">
        <v>11</v>
      </c>
      <c r="B17" s="52">
        <v>46064</v>
      </c>
      <c r="C17" s="51" t="s">
        <v>0</v>
      </c>
      <c r="D17" s="51" t="s">
        <v>1</v>
      </c>
      <c r="E17" s="51">
        <v>65</v>
      </c>
      <c r="F17" s="51">
        <v>65</v>
      </c>
      <c r="G17" s="51">
        <f t="shared" si="1"/>
        <v>130</v>
      </c>
      <c r="H17" s="51" t="s">
        <v>2</v>
      </c>
      <c r="I17" s="57"/>
    </row>
    <row r="18" spans="1:9" x14ac:dyDescent="0.25">
      <c r="A18" s="59">
        <v>12</v>
      </c>
      <c r="B18" s="52">
        <v>46065</v>
      </c>
      <c r="C18" s="51" t="s">
        <v>0</v>
      </c>
      <c r="D18" s="51" t="s">
        <v>1</v>
      </c>
      <c r="E18" s="51">
        <v>65</v>
      </c>
      <c r="F18" s="51">
        <v>65</v>
      </c>
      <c r="G18" s="51">
        <f t="shared" si="1"/>
        <v>130</v>
      </c>
      <c r="H18" s="51" t="s">
        <v>2</v>
      </c>
      <c r="I18" s="57"/>
    </row>
    <row r="19" spans="1:9" x14ac:dyDescent="0.25">
      <c r="A19" s="59">
        <v>13</v>
      </c>
      <c r="B19" s="52">
        <v>46066</v>
      </c>
      <c r="C19" s="51" t="s">
        <v>0</v>
      </c>
      <c r="D19" s="51" t="s">
        <v>1</v>
      </c>
      <c r="E19" s="51">
        <v>65</v>
      </c>
      <c r="F19" s="51">
        <v>65</v>
      </c>
      <c r="G19" s="51">
        <f t="shared" si="1"/>
        <v>130</v>
      </c>
      <c r="H19" s="51" t="s">
        <v>2</v>
      </c>
      <c r="I19" s="57"/>
    </row>
    <row r="20" spans="1:9" x14ac:dyDescent="0.25">
      <c r="A20" s="59">
        <v>14</v>
      </c>
      <c r="B20" s="52">
        <v>46067</v>
      </c>
      <c r="C20" s="51" t="s">
        <v>0</v>
      </c>
      <c r="D20" s="51" t="s">
        <v>1</v>
      </c>
      <c r="E20" s="51">
        <v>65</v>
      </c>
      <c r="F20" s="51">
        <v>65</v>
      </c>
      <c r="G20" s="51">
        <f t="shared" si="1"/>
        <v>130</v>
      </c>
      <c r="H20" s="51" t="s">
        <v>2</v>
      </c>
      <c r="I20" s="57"/>
    </row>
    <row r="21" spans="1:9" x14ac:dyDescent="0.25">
      <c r="A21" s="59">
        <v>15</v>
      </c>
      <c r="B21" s="52">
        <v>46068</v>
      </c>
      <c r="C21" s="51" t="s">
        <v>0</v>
      </c>
      <c r="D21" s="51" t="s">
        <v>1</v>
      </c>
      <c r="E21" s="51">
        <v>65</v>
      </c>
      <c r="F21" s="51">
        <v>65</v>
      </c>
      <c r="G21" s="51">
        <f t="shared" si="1"/>
        <v>130</v>
      </c>
      <c r="H21" s="51" t="s">
        <v>2</v>
      </c>
      <c r="I21" s="57"/>
    </row>
    <row r="22" spans="1:9" x14ac:dyDescent="0.25">
      <c r="A22" s="59">
        <v>16</v>
      </c>
      <c r="B22" s="54">
        <v>46069</v>
      </c>
      <c r="C22" s="56" t="s">
        <v>44</v>
      </c>
      <c r="D22" s="53"/>
      <c r="E22" s="53"/>
      <c r="F22" s="53"/>
      <c r="G22" s="53"/>
      <c r="H22" s="53"/>
      <c r="I22" s="57"/>
    </row>
    <row r="23" spans="1:9" x14ac:dyDescent="0.25">
      <c r="A23" s="59">
        <v>17</v>
      </c>
      <c r="B23" s="52">
        <v>46070</v>
      </c>
      <c r="C23" s="51" t="s">
        <v>0</v>
      </c>
      <c r="D23" s="51" t="s">
        <v>1</v>
      </c>
      <c r="E23" s="51">
        <v>65</v>
      </c>
      <c r="F23" s="51">
        <v>65</v>
      </c>
      <c r="G23" s="51">
        <f t="shared" si="1"/>
        <v>130</v>
      </c>
      <c r="H23" s="51" t="s">
        <v>2</v>
      </c>
      <c r="I23" s="57"/>
    </row>
    <row r="24" spans="1:9" x14ac:dyDescent="0.25">
      <c r="A24" s="59">
        <v>18</v>
      </c>
      <c r="B24" s="52">
        <v>46071</v>
      </c>
      <c r="C24" s="51" t="s">
        <v>0</v>
      </c>
      <c r="D24" s="51" t="s">
        <v>1</v>
      </c>
      <c r="E24" s="51">
        <v>65</v>
      </c>
      <c r="F24" s="51">
        <v>65</v>
      </c>
      <c r="G24" s="51">
        <f t="shared" si="1"/>
        <v>130</v>
      </c>
      <c r="H24" s="51" t="s">
        <v>2</v>
      </c>
      <c r="I24" s="57"/>
    </row>
    <row r="25" spans="1:9" x14ac:dyDescent="0.25">
      <c r="A25" s="59">
        <v>19</v>
      </c>
      <c r="B25" s="52">
        <v>46072</v>
      </c>
      <c r="C25" s="51" t="s">
        <v>0</v>
      </c>
      <c r="D25" s="51" t="s">
        <v>1</v>
      </c>
      <c r="E25" s="51">
        <v>65</v>
      </c>
      <c r="F25" s="51">
        <v>65</v>
      </c>
      <c r="G25" s="51">
        <f t="shared" si="1"/>
        <v>130</v>
      </c>
      <c r="H25" s="51" t="s">
        <v>2</v>
      </c>
      <c r="I25" s="57"/>
    </row>
    <row r="26" spans="1:9" x14ac:dyDescent="0.25">
      <c r="A26" s="59">
        <v>20</v>
      </c>
      <c r="B26" s="52">
        <v>46073</v>
      </c>
      <c r="C26" s="51" t="s">
        <v>0</v>
      </c>
      <c r="D26" s="51" t="s">
        <v>1</v>
      </c>
      <c r="E26" s="51">
        <v>65</v>
      </c>
      <c r="F26" s="51">
        <v>65</v>
      </c>
      <c r="G26" s="51">
        <f t="shared" si="1"/>
        <v>130</v>
      </c>
      <c r="H26" s="51" t="s">
        <v>2</v>
      </c>
      <c r="I26" s="57"/>
    </row>
    <row r="27" spans="1:9" x14ac:dyDescent="0.25">
      <c r="A27" s="59">
        <v>21</v>
      </c>
      <c r="B27" s="52">
        <v>46074</v>
      </c>
      <c r="C27" s="51" t="s">
        <v>0</v>
      </c>
      <c r="D27" s="51" t="s">
        <v>1</v>
      </c>
      <c r="E27" s="51">
        <v>65</v>
      </c>
      <c r="F27" s="51">
        <v>65</v>
      </c>
      <c r="G27" s="51">
        <f t="shared" si="1"/>
        <v>130</v>
      </c>
      <c r="H27" s="51" t="s">
        <v>2</v>
      </c>
      <c r="I27" s="57"/>
    </row>
    <row r="28" spans="1:9" x14ac:dyDescent="0.25">
      <c r="A28" s="59">
        <v>22</v>
      </c>
      <c r="B28" s="54">
        <v>46075</v>
      </c>
      <c r="C28" s="56" t="s">
        <v>44</v>
      </c>
      <c r="D28" s="53"/>
      <c r="E28" s="53"/>
      <c r="F28" s="53"/>
      <c r="G28" s="53"/>
      <c r="H28" s="53"/>
      <c r="I28" s="57"/>
    </row>
    <row r="29" spans="1:9" x14ac:dyDescent="0.25">
      <c r="A29" s="59">
        <v>23</v>
      </c>
      <c r="B29" s="52">
        <v>46076</v>
      </c>
      <c r="C29" s="51" t="s">
        <v>0</v>
      </c>
      <c r="D29" s="51" t="s">
        <v>1</v>
      </c>
      <c r="E29" s="51">
        <v>65</v>
      </c>
      <c r="F29" s="51">
        <v>65</v>
      </c>
      <c r="G29" s="51">
        <f t="shared" si="1"/>
        <v>130</v>
      </c>
      <c r="H29" s="51" t="s">
        <v>2</v>
      </c>
      <c r="I29" s="57"/>
    </row>
    <row r="30" spans="1:9" x14ac:dyDescent="0.25">
      <c r="A30" s="59">
        <v>24</v>
      </c>
      <c r="B30" s="52">
        <v>46077</v>
      </c>
      <c r="C30" s="51" t="s">
        <v>43</v>
      </c>
      <c r="D30" s="51"/>
      <c r="E30" s="51"/>
      <c r="F30" s="51"/>
      <c r="G30" s="51"/>
      <c r="H30" s="51"/>
      <c r="I30" s="57"/>
    </row>
    <row r="31" spans="1:9" x14ac:dyDescent="0.25">
      <c r="A31" s="59">
        <v>25</v>
      </c>
      <c r="B31" s="52">
        <v>46078</v>
      </c>
      <c r="C31" s="51" t="s">
        <v>43</v>
      </c>
      <c r="D31" s="51"/>
      <c r="E31" s="51"/>
      <c r="F31" s="51"/>
      <c r="G31" s="51"/>
      <c r="H31" s="51"/>
      <c r="I31" s="57"/>
    </row>
    <row r="32" spans="1:9" x14ac:dyDescent="0.25">
      <c r="A32" s="59">
        <v>26</v>
      </c>
      <c r="B32" s="52">
        <v>46079</v>
      </c>
      <c r="C32" s="51" t="s">
        <v>0</v>
      </c>
      <c r="D32" s="51" t="s">
        <v>1</v>
      </c>
      <c r="E32" s="51">
        <v>65</v>
      </c>
      <c r="F32" s="51">
        <v>65</v>
      </c>
      <c r="G32" s="51">
        <f t="shared" si="1"/>
        <v>130</v>
      </c>
      <c r="H32" s="51" t="s">
        <v>2</v>
      </c>
      <c r="I32" s="57"/>
    </row>
    <row r="33" spans="1:9" x14ac:dyDescent="0.25">
      <c r="A33" s="59">
        <v>27</v>
      </c>
      <c r="B33" s="52">
        <v>46080</v>
      </c>
      <c r="C33" s="51" t="s">
        <v>0</v>
      </c>
      <c r="D33" s="51" t="s">
        <v>1</v>
      </c>
      <c r="E33" s="51">
        <v>65</v>
      </c>
      <c r="F33" s="51">
        <v>65</v>
      </c>
      <c r="G33" s="51">
        <f t="shared" si="1"/>
        <v>130</v>
      </c>
      <c r="H33" s="51" t="s">
        <v>2</v>
      </c>
      <c r="I33" s="57"/>
    </row>
    <row r="34" spans="1:9" x14ac:dyDescent="0.25">
      <c r="A34" s="59">
        <v>28</v>
      </c>
      <c r="B34" s="52">
        <v>46081</v>
      </c>
      <c r="C34" s="51" t="s">
        <v>0</v>
      </c>
      <c r="D34" s="51" t="s">
        <v>1</v>
      </c>
      <c r="E34" s="51">
        <v>65</v>
      </c>
      <c r="F34" s="51">
        <v>65</v>
      </c>
      <c r="G34" s="51">
        <f t="shared" si="1"/>
        <v>130</v>
      </c>
      <c r="H34" s="51" t="s">
        <v>2</v>
      </c>
      <c r="I34" s="57"/>
    </row>
    <row r="35" spans="1:9" x14ac:dyDescent="0.25">
      <c r="A35" s="57"/>
      <c r="B35" s="57"/>
      <c r="C35" s="51"/>
      <c r="D35" s="51"/>
      <c r="E35" s="51"/>
      <c r="F35" s="51"/>
      <c r="G35" s="51"/>
      <c r="H35" s="51"/>
      <c r="I35" s="57"/>
    </row>
    <row r="36" spans="1:9" ht="15.6" x14ac:dyDescent="0.3">
      <c r="A36" s="57"/>
      <c r="B36" s="57"/>
      <c r="C36" s="2"/>
      <c r="D36" s="134" t="s">
        <v>17</v>
      </c>
      <c r="E36" s="135"/>
      <c r="F36" s="135"/>
      <c r="G36" s="51">
        <f>SUM(G8:G34)</f>
        <v>2648</v>
      </c>
    </row>
    <row r="37" spans="1:9" ht="14.4" x14ac:dyDescent="0.3">
      <c r="A37" s="57"/>
      <c r="B37" s="57"/>
      <c r="C37" s="123" t="s">
        <v>18</v>
      </c>
      <c r="D37" s="123"/>
      <c r="E37" s="123"/>
      <c r="F37" s="123"/>
      <c r="G37" s="51">
        <v>3</v>
      </c>
    </row>
    <row r="38" spans="1:9" ht="15.6" x14ac:dyDescent="0.3">
      <c r="A38" s="57"/>
      <c r="B38" s="57"/>
      <c r="C38" s="123" t="s">
        <v>19</v>
      </c>
      <c r="D38" s="123"/>
      <c r="E38" s="123"/>
      <c r="F38" s="123"/>
      <c r="G38" s="58">
        <f>G36*G37</f>
        <v>7944</v>
      </c>
    </row>
    <row r="40" spans="1:9" x14ac:dyDescent="0.25">
      <c r="A40" s="136" t="s">
        <v>51</v>
      </c>
      <c r="B40" s="137"/>
      <c r="C40" s="137"/>
      <c r="D40" s="137"/>
      <c r="E40" s="137"/>
      <c r="F40" s="137"/>
      <c r="G40" s="137"/>
      <c r="H40" s="137"/>
      <c r="I40" s="138"/>
    </row>
  </sheetData>
  <mergeCells count="9">
    <mergeCell ref="C38:F38"/>
    <mergeCell ref="A40:I40"/>
    <mergeCell ref="G2:I2"/>
    <mergeCell ref="A2:C2"/>
    <mergeCell ref="A1:C1"/>
    <mergeCell ref="H3:I3"/>
    <mergeCell ref="H1:I1"/>
    <mergeCell ref="D36:F36"/>
    <mergeCell ref="C37:F37"/>
  </mergeCells>
  <pageMargins left="0.25" right="0.25" top="0.84166666666666667" bottom="0.75" header="0.3" footer="0.3"/>
  <pageSetup orientation="portrait" r:id="rId1"/>
  <headerFooter>
    <oddHeader>&amp;C&amp;"-,Bold"February -2026 Expensive
M/s Clean Room Technologies Private Limited</oddHeader>
    <oddFooter>&amp;L&amp;"-,Bold"KARTHIK RATNA &amp;C&amp;"-,Bold"REVIEWED BY&amp;R&amp;"-,Bold"APPROVED BY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7C94-B8F9-4AA8-AD7C-5BBE4CA90BB9}">
  <dimension ref="A1:H34"/>
  <sheetViews>
    <sheetView workbookViewId="0">
      <selection sqref="A1:F3"/>
    </sheetView>
  </sheetViews>
  <sheetFormatPr defaultRowHeight="18" x14ac:dyDescent="0.35"/>
  <cols>
    <col min="1" max="1" width="6.88671875" style="66" bestFit="1" customWidth="1"/>
    <col min="2" max="2" width="16.44140625" style="66" customWidth="1"/>
    <col min="3" max="3" width="15.6640625" style="65" bestFit="1" customWidth="1"/>
    <col min="4" max="4" width="20" style="65" customWidth="1"/>
    <col min="5" max="6" width="16.109375" style="65" bestFit="1" customWidth="1"/>
    <col min="7" max="16384" width="8.88671875" style="65"/>
  </cols>
  <sheetData>
    <row r="1" spans="1:8" x14ac:dyDescent="0.35">
      <c r="A1" s="143" t="s">
        <v>63</v>
      </c>
      <c r="B1" s="143"/>
      <c r="C1" s="143"/>
      <c r="D1" s="143"/>
      <c r="E1" s="144" t="s">
        <v>65</v>
      </c>
      <c r="F1" s="144"/>
      <c r="G1" s="76"/>
    </row>
    <row r="2" spans="1:8" ht="25.8" customHeight="1" x14ac:dyDescent="0.35">
      <c r="E2" s="142" t="s">
        <v>64</v>
      </c>
      <c r="F2" s="142"/>
    </row>
    <row r="3" spans="1:8" x14ac:dyDescent="0.35">
      <c r="A3" s="63" t="s">
        <v>56</v>
      </c>
      <c r="B3" s="63" t="s">
        <v>55</v>
      </c>
      <c r="C3" s="63" t="s">
        <v>57</v>
      </c>
      <c r="D3" s="63" t="s">
        <v>53</v>
      </c>
      <c r="E3" s="63" t="s">
        <v>31</v>
      </c>
      <c r="F3" s="64" t="s">
        <v>30</v>
      </c>
    </row>
    <row r="4" spans="1:8" x14ac:dyDescent="0.35">
      <c r="A4" s="67">
        <v>1</v>
      </c>
      <c r="B4" s="68">
        <v>46082</v>
      </c>
      <c r="C4" s="69" t="s">
        <v>22</v>
      </c>
      <c r="D4" s="69"/>
      <c r="E4" s="69"/>
      <c r="F4" s="69"/>
    </row>
    <row r="5" spans="1:8" x14ac:dyDescent="0.35">
      <c r="A5" s="67">
        <v>2</v>
      </c>
      <c r="B5" s="70">
        <v>46083</v>
      </c>
      <c r="C5" s="67" t="s">
        <v>58</v>
      </c>
      <c r="D5" s="67" t="s">
        <v>54</v>
      </c>
      <c r="E5" s="67" t="s">
        <v>54</v>
      </c>
      <c r="F5" s="67" t="s">
        <v>54</v>
      </c>
    </row>
    <row r="6" spans="1:8" x14ac:dyDescent="0.35">
      <c r="A6" s="67">
        <v>3</v>
      </c>
      <c r="B6" s="70">
        <v>46084</v>
      </c>
      <c r="C6" s="67" t="s">
        <v>58</v>
      </c>
      <c r="D6" s="67" t="s">
        <v>54</v>
      </c>
      <c r="E6" s="67" t="s">
        <v>54</v>
      </c>
      <c r="F6" s="67" t="s">
        <v>54</v>
      </c>
    </row>
    <row r="7" spans="1:8" x14ac:dyDescent="0.35">
      <c r="A7" s="67">
        <v>4</v>
      </c>
      <c r="B7" s="70">
        <v>46085</v>
      </c>
      <c r="C7" s="67" t="s">
        <v>58</v>
      </c>
      <c r="D7" s="67" t="s">
        <v>54</v>
      </c>
      <c r="E7" s="67" t="s">
        <v>54</v>
      </c>
      <c r="F7" s="67" t="s">
        <v>54</v>
      </c>
    </row>
    <row r="8" spans="1:8" x14ac:dyDescent="0.35">
      <c r="A8" s="67">
        <v>5</v>
      </c>
      <c r="B8" s="70">
        <v>46086</v>
      </c>
      <c r="C8" s="67" t="s">
        <v>58</v>
      </c>
      <c r="D8" s="67" t="s">
        <v>54</v>
      </c>
      <c r="E8" s="67" t="s">
        <v>54</v>
      </c>
      <c r="F8" s="67" t="s">
        <v>54</v>
      </c>
      <c r="H8" s="65" t="s">
        <v>60</v>
      </c>
    </row>
    <row r="9" spans="1:8" x14ac:dyDescent="0.35">
      <c r="A9" s="67">
        <v>6</v>
      </c>
      <c r="B9" s="70">
        <v>46087</v>
      </c>
      <c r="C9" s="67" t="s">
        <v>58</v>
      </c>
      <c r="D9" s="67" t="s">
        <v>54</v>
      </c>
      <c r="E9" s="67" t="s">
        <v>52</v>
      </c>
      <c r="F9" s="67" t="s">
        <v>52</v>
      </c>
    </row>
    <row r="10" spans="1:8" x14ac:dyDescent="0.35">
      <c r="A10" s="67">
        <v>7</v>
      </c>
      <c r="B10" s="70">
        <v>46088</v>
      </c>
      <c r="C10" s="67" t="s">
        <v>58</v>
      </c>
      <c r="D10" s="67" t="s">
        <v>54</v>
      </c>
      <c r="E10" s="67" t="s">
        <v>52</v>
      </c>
      <c r="F10" s="67" t="s">
        <v>52</v>
      </c>
    </row>
    <row r="11" spans="1:8" x14ac:dyDescent="0.35">
      <c r="A11" s="67">
        <v>8</v>
      </c>
      <c r="B11" s="68">
        <v>46089</v>
      </c>
      <c r="C11" s="69" t="s">
        <v>62</v>
      </c>
      <c r="D11" s="67" t="s">
        <v>54</v>
      </c>
      <c r="E11" s="71"/>
      <c r="F11" s="71"/>
    </row>
    <row r="12" spans="1:8" x14ac:dyDescent="0.35">
      <c r="A12" s="67">
        <v>9</v>
      </c>
      <c r="B12" s="70">
        <v>46090</v>
      </c>
      <c r="C12" s="67" t="s">
        <v>58</v>
      </c>
      <c r="D12" s="67" t="s">
        <v>54</v>
      </c>
      <c r="E12" s="71"/>
      <c r="F12" s="71"/>
    </row>
    <row r="13" spans="1:8" x14ac:dyDescent="0.35">
      <c r="A13" s="67">
        <v>10</v>
      </c>
      <c r="B13" s="70">
        <v>46091</v>
      </c>
      <c r="C13" s="67" t="s">
        <v>58</v>
      </c>
      <c r="D13" s="67" t="s">
        <v>54</v>
      </c>
      <c r="E13" s="71"/>
      <c r="F13" s="71"/>
    </row>
    <row r="14" spans="1:8" x14ac:dyDescent="0.35">
      <c r="A14" s="67">
        <v>11</v>
      </c>
      <c r="B14" s="70">
        <v>46092</v>
      </c>
      <c r="C14" s="67" t="s">
        <v>58</v>
      </c>
      <c r="D14" s="67" t="s">
        <v>54</v>
      </c>
      <c r="E14" s="71"/>
      <c r="F14" s="71"/>
    </row>
    <row r="15" spans="1:8" x14ac:dyDescent="0.35">
      <c r="A15" s="67">
        <v>12</v>
      </c>
      <c r="B15" s="70">
        <v>46093</v>
      </c>
      <c r="C15" s="67" t="s">
        <v>58</v>
      </c>
      <c r="D15" s="67" t="s">
        <v>54</v>
      </c>
      <c r="E15" s="71"/>
      <c r="F15" s="71"/>
    </row>
    <row r="16" spans="1:8" x14ac:dyDescent="0.35">
      <c r="A16" s="67">
        <v>13</v>
      </c>
      <c r="B16" s="70">
        <v>46094</v>
      </c>
      <c r="C16" s="67" t="s">
        <v>58</v>
      </c>
      <c r="D16" s="67" t="s">
        <v>54</v>
      </c>
      <c r="E16" s="71"/>
      <c r="F16" s="71"/>
    </row>
    <row r="17" spans="1:6" x14ac:dyDescent="0.35">
      <c r="A17" s="67">
        <v>14</v>
      </c>
      <c r="B17" s="70">
        <v>46095</v>
      </c>
      <c r="C17" s="51" t="s">
        <v>61</v>
      </c>
      <c r="D17" s="67" t="s">
        <v>54</v>
      </c>
      <c r="E17" s="71"/>
      <c r="F17" s="71"/>
    </row>
    <row r="18" spans="1:6" x14ac:dyDescent="0.35">
      <c r="A18" s="67">
        <v>15</v>
      </c>
      <c r="B18" s="68">
        <v>46096</v>
      </c>
      <c r="C18" s="69" t="s">
        <v>75</v>
      </c>
      <c r="D18" s="69"/>
      <c r="E18" s="72"/>
      <c r="F18" s="72"/>
    </row>
    <row r="19" spans="1:6" x14ac:dyDescent="0.35">
      <c r="A19" s="67">
        <v>16</v>
      </c>
      <c r="B19" s="70">
        <v>46097</v>
      </c>
      <c r="C19" s="51" t="s">
        <v>61</v>
      </c>
      <c r="D19" s="67" t="s">
        <v>54</v>
      </c>
      <c r="E19" s="71"/>
      <c r="F19" s="71"/>
    </row>
    <row r="20" spans="1:6" x14ac:dyDescent="0.35">
      <c r="A20" s="67">
        <v>17</v>
      </c>
      <c r="B20" s="70">
        <v>46098</v>
      </c>
      <c r="C20" s="51" t="s">
        <v>61</v>
      </c>
      <c r="D20" s="67" t="s">
        <v>54</v>
      </c>
      <c r="E20" s="71"/>
      <c r="F20" s="71"/>
    </row>
    <row r="21" spans="1:6" x14ac:dyDescent="0.35">
      <c r="A21" s="67">
        <v>18</v>
      </c>
      <c r="B21" s="70">
        <v>46099</v>
      </c>
      <c r="C21" s="51" t="s">
        <v>61</v>
      </c>
      <c r="D21" s="67" t="s">
        <v>54</v>
      </c>
      <c r="E21" s="71"/>
      <c r="F21" s="71"/>
    </row>
    <row r="22" spans="1:6" x14ac:dyDescent="0.35">
      <c r="A22" s="67">
        <v>19</v>
      </c>
      <c r="B22" s="68">
        <v>46100</v>
      </c>
      <c r="C22" s="56" t="s">
        <v>74</v>
      </c>
      <c r="D22" s="69"/>
      <c r="E22" s="73"/>
      <c r="F22" s="73"/>
    </row>
    <row r="23" spans="1:6" x14ac:dyDescent="0.35">
      <c r="A23" s="67">
        <v>20</v>
      </c>
      <c r="B23" s="70">
        <v>46101</v>
      </c>
      <c r="C23" s="51" t="s">
        <v>61</v>
      </c>
      <c r="D23" s="67" t="s">
        <v>54</v>
      </c>
      <c r="E23" s="71"/>
      <c r="F23" s="71"/>
    </row>
    <row r="24" spans="1:6" x14ac:dyDescent="0.35">
      <c r="A24" s="67">
        <v>21</v>
      </c>
      <c r="B24" s="70">
        <v>46102</v>
      </c>
      <c r="C24" s="51" t="s">
        <v>61</v>
      </c>
      <c r="D24" s="67" t="s">
        <v>54</v>
      </c>
      <c r="E24" s="71"/>
      <c r="F24" s="71"/>
    </row>
    <row r="25" spans="1:6" x14ac:dyDescent="0.35">
      <c r="A25" s="67">
        <v>22</v>
      </c>
      <c r="B25" s="68">
        <v>46103</v>
      </c>
      <c r="C25" s="56" t="s">
        <v>75</v>
      </c>
      <c r="D25" s="69"/>
      <c r="E25" s="72"/>
      <c r="F25" s="72"/>
    </row>
    <row r="26" spans="1:6" x14ac:dyDescent="0.35">
      <c r="A26" s="67">
        <v>23</v>
      </c>
      <c r="B26" s="70">
        <v>46104</v>
      </c>
      <c r="C26" s="51" t="s">
        <v>59</v>
      </c>
      <c r="D26" s="67" t="s">
        <v>54</v>
      </c>
      <c r="E26" s="71"/>
      <c r="F26" s="71"/>
    </row>
    <row r="27" spans="1:6" x14ac:dyDescent="0.35">
      <c r="A27" s="67">
        <v>24</v>
      </c>
      <c r="B27" s="70">
        <v>46105</v>
      </c>
      <c r="C27" s="51" t="s">
        <v>59</v>
      </c>
      <c r="D27" s="67" t="s">
        <v>54</v>
      </c>
      <c r="E27" s="71"/>
      <c r="F27" s="71"/>
    </row>
    <row r="28" spans="1:6" x14ac:dyDescent="0.35">
      <c r="A28" s="67">
        <v>25</v>
      </c>
      <c r="B28" s="70">
        <v>46106</v>
      </c>
      <c r="C28" s="51" t="s">
        <v>59</v>
      </c>
      <c r="D28" s="67" t="s">
        <v>54</v>
      </c>
      <c r="E28" s="71"/>
      <c r="F28" s="71"/>
    </row>
    <row r="29" spans="1:6" x14ac:dyDescent="0.35">
      <c r="A29" s="67">
        <v>26</v>
      </c>
      <c r="B29" s="70">
        <v>46107</v>
      </c>
      <c r="C29" s="51" t="s">
        <v>59</v>
      </c>
      <c r="D29" s="67" t="s">
        <v>54</v>
      </c>
      <c r="E29" s="71"/>
      <c r="F29" s="71"/>
    </row>
    <row r="30" spans="1:6" x14ac:dyDescent="0.35">
      <c r="A30" s="67">
        <v>27</v>
      </c>
      <c r="B30" s="70">
        <v>46108</v>
      </c>
      <c r="C30" s="51" t="s">
        <v>59</v>
      </c>
      <c r="D30" s="67" t="s">
        <v>54</v>
      </c>
      <c r="E30" s="71"/>
      <c r="F30" s="71"/>
    </row>
    <row r="31" spans="1:6" x14ac:dyDescent="0.35">
      <c r="A31" s="67">
        <v>28</v>
      </c>
      <c r="B31" s="70">
        <v>46109</v>
      </c>
      <c r="C31" s="51" t="s">
        <v>59</v>
      </c>
      <c r="D31" s="67" t="s">
        <v>54</v>
      </c>
      <c r="E31" s="71"/>
      <c r="F31" s="71"/>
    </row>
    <row r="32" spans="1:6" x14ac:dyDescent="0.35">
      <c r="A32" s="67">
        <v>29</v>
      </c>
      <c r="B32" s="74">
        <v>46110</v>
      </c>
      <c r="C32" s="77" t="s">
        <v>75</v>
      </c>
      <c r="D32" s="75"/>
      <c r="E32" s="73"/>
      <c r="F32" s="73"/>
    </row>
    <row r="33" spans="1:6" x14ac:dyDescent="0.35">
      <c r="A33" s="67">
        <v>30</v>
      </c>
      <c r="B33" s="70">
        <v>46111</v>
      </c>
      <c r="C33" s="51" t="s">
        <v>59</v>
      </c>
      <c r="D33" s="67" t="s">
        <v>54</v>
      </c>
      <c r="E33" s="71"/>
      <c r="F33" s="71"/>
    </row>
    <row r="34" spans="1:6" x14ac:dyDescent="0.35">
      <c r="A34" s="67">
        <v>31</v>
      </c>
      <c r="B34" s="70">
        <v>46112</v>
      </c>
      <c r="C34" s="51" t="s">
        <v>59</v>
      </c>
      <c r="D34" s="67" t="s">
        <v>54</v>
      </c>
      <c r="E34" s="71"/>
      <c r="F34" s="71"/>
    </row>
  </sheetData>
  <mergeCells count="3">
    <mergeCell ref="E2:F2"/>
    <mergeCell ref="A1:D1"/>
    <mergeCell ref="E1:F1"/>
  </mergeCells>
  <pageMargins left="0.25" right="0.25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04D2-0669-499C-9BD0-B4211B1261F4}">
  <dimension ref="A1:I43"/>
  <sheetViews>
    <sheetView view="pageLayout" zoomScale="110" zoomScaleNormal="144" zoomScalePageLayoutView="110" workbookViewId="0">
      <selection activeCell="C9" sqref="C9:F9"/>
    </sheetView>
  </sheetViews>
  <sheetFormatPr defaultRowHeight="13.8" x14ac:dyDescent="0.25"/>
  <cols>
    <col min="1" max="1" width="6.44140625" style="81" customWidth="1"/>
    <col min="2" max="2" width="13.33203125" style="81" customWidth="1"/>
    <col min="3" max="3" width="16.21875" style="88" customWidth="1"/>
    <col min="4" max="4" width="22.6640625" style="88" customWidth="1"/>
    <col min="5" max="5" width="5.33203125" style="36" bestFit="1" customWidth="1"/>
    <col min="6" max="6" width="5.21875" style="36" bestFit="1" customWidth="1"/>
    <col min="7" max="7" width="6.109375" style="36" bestFit="1" customWidth="1"/>
    <col min="8" max="8" width="17.33203125" style="88" bestFit="1" customWidth="1"/>
    <col min="9" max="9" width="8.44140625" style="36" customWidth="1"/>
    <col min="10" max="16384" width="8.88671875" style="36"/>
  </cols>
  <sheetData>
    <row r="1" spans="1:9" x14ac:dyDescent="0.25">
      <c r="A1" s="140" t="s">
        <v>47</v>
      </c>
      <c r="B1" s="140"/>
      <c r="C1" s="140"/>
      <c r="D1" s="82"/>
      <c r="E1" s="61"/>
      <c r="F1" s="61"/>
      <c r="G1" s="61"/>
      <c r="H1" s="141" t="s">
        <v>66</v>
      </c>
      <c r="I1" s="141"/>
    </row>
    <row r="2" spans="1:9" ht="14.4" customHeight="1" x14ac:dyDescent="0.25">
      <c r="A2" s="140" t="s">
        <v>16</v>
      </c>
      <c r="B2" s="140"/>
      <c r="C2" s="140"/>
      <c r="D2" s="82"/>
      <c r="E2" s="61"/>
      <c r="F2" s="139" t="s">
        <v>48</v>
      </c>
      <c r="G2" s="139"/>
      <c r="H2" s="139"/>
      <c r="I2" s="139"/>
    </row>
    <row r="3" spans="1:9" x14ac:dyDescent="0.25">
      <c r="A3" s="78"/>
      <c r="B3" s="78"/>
      <c r="C3" s="83"/>
      <c r="D3" s="83"/>
      <c r="E3" s="61"/>
      <c r="F3" s="61"/>
      <c r="G3" s="61"/>
      <c r="H3" s="141" t="s">
        <v>46</v>
      </c>
      <c r="I3" s="141"/>
    </row>
    <row r="4" spans="1:9" x14ac:dyDescent="0.25">
      <c r="H4" s="145">
        <v>46082</v>
      </c>
      <c r="I4" s="146"/>
    </row>
    <row r="5" spans="1:9" ht="36.6" customHeight="1" x14ac:dyDescent="0.25">
      <c r="A5" s="79" t="s">
        <v>6</v>
      </c>
      <c r="B5" s="79" t="s">
        <v>7</v>
      </c>
      <c r="C5" s="84" t="s">
        <v>8</v>
      </c>
      <c r="D5" s="49" t="s">
        <v>9</v>
      </c>
      <c r="E5" s="49" t="s">
        <v>10</v>
      </c>
      <c r="F5" s="35" t="s">
        <v>11</v>
      </c>
      <c r="G5" s="50" t="s">
        <v>12</v>
      </c>
      <c r="H5" s="84" t="s">
        <v>13</v>
      </c>
      <c r="I5" s="49" t="s">
        <v>14</v>
      </c>
    </row>
    <row r="6" spans="1:9" x14ac:dyDescent="0.25">
      <c r="A6" s="80"/>
      <c r="B6" s="80"/>
      <c r="C6" s="85"/>
      <c r="D6" s="85"/>
      <c r="E6" s="57"/>
      <c r="F6" s="57"/>
      <c r="G6" s="57"/>
      <c r="H6" s="85"/>
      <c r="I6" s="57"/>
    </row>
    <row r="7" spans="1:9" x14ac:dyDescent="0.25">
      <c r="A7" s="93">
        <v>1</v>
      </c>
      <c r="B7" s="92">
        <v>46082</v>
      </c>
      <c r="C7" s="89" t="s">
        <v>44</v>
      </c>
      <c r="D7" s="89"/>
      <c r="E7" s="56"/>
      <c r="F7" s="56"/>
      <c r="G7" s="56"/>
      <c r="H7" s="89"/>
      <c r="I7" s="57"/>
    </row>
    <row r="8" spans="1:9" x14ac:dyDescent="0.25">
      <c r="A8" s="91">
        <v>2</v>
      </c>
      <c r="B8" s="90">
        <v>46083</v>
      </c>
      <c r="C8" s="55" t="s">
        <v>0</v>
      </c>
      <c r="D8" s="55" t="s">
        <v>1</v>
      </c>
      <c r="E8" s="51">
        <v>65</v>
      </c>
      <c r="F8" s="51">
        <v>65</v>
      </c>
      <c r="G8" s="51">
        <f t="shared" ref="G8:G37" si="0">E8+F8</f>
        <v>130</v>
      </c>
      <c r="H8" s="55" t="s">
        <v>2</v>
      </c>
      <c r="I8" s="57"/>
    </row>
    <row r="9" spans="1:9" x14ac:dyDescent="0.25">
      <c r="A9" s="91">
        <v>3</v>
      </c>
      <c r="B9" s="90">
        <v>46084</v>
      </c>
      <c r="C9" s="55" t="s">
        <v>0</v>
      </c>
      <c r="D9" s="55" t="s">
        <v>1</v>
      </c>
      <c r="E9" s="51">
        <v>65</v>
      </c>
      <c r="F9" s="51">
        <v>65</v>
      </c>
      <c r="G9" s="51">
        <f t="shared" si="0"/>
        <v>130</v>
      </c>
      <c r="H9" s="55" t="s">
        <v>2</v>
      </c>
      <c r="I9" s="57"/>
    </row>
    <row r="10" spans="1:9" x14ac:dyDescent="0.25">
      <c r="A10" s="91">
        <v>4</v>
      </c>
      <c r="B10" s="90">
        <v>46085</v>
      </c>
      <c r="C10" s="55" t="s">
        <v>0</v>
      </c>
      <c r="D10" s="55" t="s">
        <v>1</v>
      </c>
      <c r="E10" s="51">
        <v>65</v>
      </c>
      <c r="F10" s="51">
        <v>65</v>
      </c>
      <c r="G10" s="51">
        <f t="shared" si="0"/>
        <v>130</v>
      </c>
      <c r="H10" s="55" t="s">
        <v>2</v>
      </c>
      <c r="I10" s="57"/>
    </row>
    <row r="11" spans="1:9" x14ac:dyDescent="0.25">
      <c r="A11" s="91">
        <v>5</v>
      </c>
      <c r="B11" s="90">
        <v>46086</v>
      </c>
      <c r="C11" s="55" t="s">
        <v>0</v>
      </c>
      <c r="D11" s="55" t="s">
        <v>1</v>
      </c>
      <c r="E11" s="51">
        <v>65</v>
      </c>
      <c r="F11" s="51">
        <v>65</v>
      </c>
      <c r="G11" s="51">
        <f t="shared" si="0"/>
        <v>130</v>
      </c>
      <c r="H11" s="55" t="s">
        <v>2</v>
      </c>
      <c r="I11" s="57"/>
    </row>
    <row r="12" spans="1:9" x14ac:dyDescent="0.25">
      <c r="A12" s="91">
        <v>6</v>
      </c>
      <c r="B12" s="90">
        <v>46087</v>
      </c>
      <c r="C12" s="55" t="s">
        <v>0</v>
      </c>
      <c r="D12" s="55" t="s">
        <v>1</v>
      </c>
      <c r="E12" s="51">
        <v>65</v>
      </c>
      <c r="F12" s="51">
        <v>65</v>
      </c>
      <c r="G12" s="51">
        <f t="shared" si="0"/>
        <v>130</v>
      </c>
      <c r="H12" s="55" t="s">
        <v>2</v>
      </c>
      <c r="I12" s="57"/>
    </row>
    <row r="13" spans="1:9" x14ac:dyDescent="0.25">
      <c r="A13" s="91">
        <v>7</v>
      </c>
      <c r="B13" s="90">
        <v>46088</v>
      </c>
      <c r="C13" s="55" t="s">
        <v>0</v>
      </c>
      <c r="D13" s="55" t="s">
        <v>1</v>
      </c>
      <c r="E13" s="51">
        <v>65</v>
      </c>
      <c r="F13" s="51">
        <v>65</v>
      </c>
      <c r="G13" s="51">
        <f t="shared" si="0"/>
        <v>130</v>
      </c>
      <c r="H13" s="55" t="s">
        <v>2</v>
      </c>
      <c r="I13" s="57"/>
    </row>
    <row r="14" spans="1:9" x14ac:dyDescent="0.25">
      <c r="A14" s="91">
        <v>8</v>
      </c>
      <c r="B14" s="92">
        <v>46089</v>
      </c>
      <c r="C14" s="89" t="s">
        <v>0</v>
      </c>
      <c r="D14" s="89" t="s">
        <v>70</v>
      </c>
      <c r="E14" s="56">
        <v>45</v>
      </c>
      <c r="F14" s="56">
        <v>45</v>
      </c>
      <c r="G14" s="56">
        <f t="shared" si="0"/>
        <v>90</v>
      </c>
      <c r="H14" s="89" t="s">
        <v>72</v>
      </c>
      <c r="I14" s="57"/>
    </row>
    <row r="15" spans="1:9" x14ac:dyDescent="0.25">
      <c r="A15" s="91">
        <v>9</v>
      </c>
      <c r="B15" s="90">
        <v>46090</v>
      </c>
      <c r="C15" s="55" t="s">
        <v>0</v>
      </c>
      <c r="D15" s="55" t="s">
        <v>1</v>
      </c>
      <c r="E15" s="51">
        <v>65</v>
      </c>
      <c r="F15" s="51">
        <v>65</v>
      </c>
      <c r="G15" s="51">
        <f t="shared" si="0"/>
        <v>130</v>
      </c>
      <c r="H15" s="55"/>
      <c r="I15" s="57"/>
    </row>
    <row r="16" spans="1:9" x14ac:dyDescent="0.25">
      <c r="A16" s="91">
        <v>10</v>
      </c>
      <c r="B16" s="90">
        <v>46091</v>
      </c>
      <c r="C16" s="55" t="s">
        <v>0</v>
      </c>
      <c r="D16" s="55" t="s">
        <v>1</v>
      </c>
      <c r="E16" s="51">
        <v>65</v>
      </c>
      <c r="F16" s="51">
        <v>65</v>
      </c>
      <c r="G16" s="51">
        <f t="shared" si="0"/>
        <v>130</v>
      </c>
      <c r="H16" s="55" t="s">
        <v>2</v>
      </c>
      <c r="I16" s="57"/>
    </row>
    <row r="17" spans="1:9" x14ac:dyDescent="0.25">
      <c r="A17" s="91">
        <v>11</v>
      </c>
      <c r="B17" s="90">
        <v>46092</v>
      </c>
      <c r="C17" s="55" t="s">
        <v>0</v>
      </c>
      <c r="D17" s="55" t="s">
        <v>1</v>
      </c>
      <c r="E17" s="51">
        <v>65</v>
      </c>
      <c r="F17" s="51">
        <v>65</v>
      </c>
      <c r="G17" s="51">
        <f t="shared" si="0"/>
        <v>130</v>
      </c>
      <c r="H17" s="55" t="s">
        <v>2</v>
      </c>
      <c r="I17" s="57"/>
    </row>
    <row r="18" spans="1:9" x14ac:dyDescent="0.25">
      <c r="A18" s="91">
        <v>12</v>
      </c>
      <c r="B18" s="90">
        <v>46093</v>
      </c>
      <c r="C18" s="55" t="s">
        <v>0</v>
      </c>
      <c r="D18" s="55" t="s">
        <v>1</v>
      </c>
      <c r="E18" s="51">
        <v>65</v>
      </c>
      <c r="F18" s="51">
        <v>65</v>
      </c>
      <c r="G18" s="51">
        <f t="shared" si="0"/>
        <v>130</v>
      </c>
      <c r="H18" s="55" t="s">
        <v>2</v>
      </c>
      <c r="I18" s="57"/>
    </row>
    <row r="19" spans="1:9" x14ac:dyDescent="0.25">
      <c r="A19" s="91">
        <v>13</v>
      </c>
      <c r="B19" s="90">
        <v>46094</v>
      </c>
      <c r="C19" s="55" t="s">
        <v>0</v>
      </c>
      <c r="D19" s="55" t="s">
        <v>1</v>
      </c>
      <c r="E19" s="51">
        <v>65</v>
      </c>
      <c r="F19" s="51">
        <v>65</v>
      </c>
      <c r="G19" s="51">
        <f t="shared" si="0"/>
        <v>130</v>
      </c>
      <c r="H19" s="55" t="s">
        <v>2</v>
      </c>
      <c r="I19" s="57"/>
    </row>
    <row r="20" spans="1:9" x14ac:dyDescent="0.25">
      <c r="A20" s="91">
        <v>14</v>
      </c>
      <c r="B20" s="90">
        <v>46095</v>
      </c>
      <c r="C20" s="55" t="s">
        <v>0</v>
      </c>
      <c r="D20" s="55" t="s">
        <v>67</v>
      </c>
      <c r="E20" s="51">
        <v>65</v>
      </c>
      <c r="F20" s="51">
        <v>65</v>
      </c>
      <c r="G20" s="51">
        <f t="shared" si="0"/>
        <v>130</v>
      </c>
      <c r="H20" s="55" t="s">
        <v>2</v>
      </c>
      <c r="I20" s="57"/>
    </row>
    <row r="21" spans="1:9" x14ac:dyDescent="0.25">
      <c r="A21" s="91">
        <v>15</v>
      </c>
      <c r="B21" s="92">
        <v>46096</v>
      </c>
      <c r="C21" s="89" t="s">
        <v>44</v>
      </c>
      <c r="D21" s="62"/>
      <c r="E21" s="53"/>
      <c r="F21" s="53"/>
      <c r="G21" s="53"/>
      <c r="H21" s="86"/>
      <c r="I21" s="57"/>
    </row>
    <row r="22" spans="1:9" x14ac:dyDescent="0.25">
      <c r="A22" s="91">
        <v>16</v>
      </c>
      <c r="B22" s="90">
        <v>46097</v>
      </c>
      <c r="C22" s="55" t="s">
        <v>0</v>
      </c>
      <c r="D22" s="55" t="s">
        <v>69</v>
      </c>
      <c r="E22" s="51">
        <v>65</v>
      </c>
      <c r="F22" s="61">
        <v>65</v>
      </c>
      <c r="G22" s="51">
        <f t="shared" si="0"/>
        <v>130</v>
      </c>
      <c r="H22" s="36"/>
      <c r="I22" s="57"/>
    </row>
    <row r="23" spans="1:9" x14ac:dyDescent="0.25">
      <c r="A23" s="91">
        <v>17</v>
      </c>
      <c r="B23" s="90">
        <v>46098</v>
      </c>
      <c r="C23" s="55" t="s">
        <v>0</v>
      </c>
      <c r="D23" s="55" t="s">
        <v>1</v>
      </c>
      <c r="E23" s="51">
        <v>65</v>
      </c>
      <c r="F23" s="51">
        <v>65</v>
      </c>
      <c r="G23" s="51">
        <f t="shared" si="0"/>
        <v>130</v>
      </c>
      <c r="H23" s="55" t="s">
        <v>2</v>
      </c>
      <c r="I23" s="57"/>
    </row>
    <row r="24" spans="1:9" x14ac:dyDescent="0.25">
      <c r="A24" s="91">
        <v>18</v>
      </c>
      <c r="B24" s="90">
        <v>46099</v>
      </c>
      <c r="C24" s="55" t="s">
        <v>0</v>
      </c>
      <c r="D24" s="55" t="s">
        <v>69</v>
      </c>
      <c r="E24" s="51">
        <v>65</v>
      </c>
      <c r="F24" s="51">
        <v>65</v>
      </c>
      <c r="G24" s="51">
        <f t="shared" si="0"/>
        <v>130</v>
      </c>
      <c r="H24" s="55" t="s">
        <v>2</v>
      </c>
      <c r="I24" s="57"/>
    </row>
    <row r="25" spans="1:9" x14ac:dyDescent="0.25">
      <c r="A25" s="93">
        <v>19</v>
      </c>
      <c r="B25" s="92">
        <v>46100</v>
      </c>
      <c r="C25" s="89" t="s">
        <v>68</v>
      </c>
      <c r="D25" s="89"/>
      <c r="E25" s="56"/>
      <c r="F25" s="56"/>
      <c r="G25" s="56"/>
      <c r="H25" s="89"/>
      <c r="I25" s="57"/>
    </row>
    <row r="26" spans="1:9" x14ac:dyDescent="0.25">
      <c r="A26" s="91">
        <v>20</v>
      </c>
      <c r="B26" s="90">
        <v>46101</v>
      </c>
      <c r="C26" s="55" t="s">
        <v>0</v>
      </c>
      <c r="D26" s="55" t="s">
        <v>69</v>
      </c>
      <c r="E26" s="51">
        <v>65</v>
      </c>
      <c r="F26" s="51">
        <v>65</v>
      </c>
      <c r="G26" s="51">
        <f t="shared" si="0"/>
        <v>130</v>
      </c>
      <c r="H26" s="55" t="s">
        <v>2</v>
      </c>
      <c r="I26" s="57"/>
    </row>
    <row r="27" spans="1:9" x14ac:dyDescent="0.25">
      <c r="A27" s="91">
        <v>21</v>
      </c>
      <c r="B27" s="90">
        <v>46102</v>
      </c>
      <c r="C27" s="55" t="s">
        <v>0</v>
      </c>
      <c r="D27" s="55" t="s">
        <v>69</v>
      </c>
      <c r="E27" s="51">
        <v>65</v>
      </c>
      <c r="F27" s="51">
        <v>65</v>
      </c>
      <c r="G27" s="51">
        <f t="shared" si="0"/>
        <v>130</v>
      </c>
      <c r="H27" s="55" t="s">
        <v>2</v>
      </c>
      <c r="I27" s="57"/>
    </row>
    <row r="28" spans="1:9" x14ac:dyDescent="0.25">
      <c r="A28" s="91">
        <v>22</v>
      </c>
      <c r="B28" s="92">
        <v>46103</v>
      </c>
      <c r="C28" s="89" t="s">
        <v>44</v>
      </c>
      <c r="D28" s="86"/>
      <c r="E28" s="53"/>
      <c r="F28" s="53"/>
      <c r="G28" s="53"/>
      <c r="H28" s="86"/>
      <c r="I28" s="57"/>
    </row>
    <row r="29" spans="1:9" x14ac:dyDescent="0.25">
      <c r="A29" s="91">
        <v>23</v>
      </c>
      <c r="B29" s="90">
        <v>46104</v>
      </c>
      <c r="C29" s="55" t="s">
        <v>0</v>
      </c>
      <c r="D29" s="55" t="s">
        <v>76</v>
      </c>
      <c r="E29" s="51">
        <v>50</v>
      </c>
      <c r="F29" s="51">
        <v>50</v>
      </c>
      <c r="G29" s="51">
        <f t="shared" si="0"/>
        <v>100</v>
      </c>
      <c r="H29" s="55" t="s">
        <v>71</v>
      </c>
      <c r="I29" s="57"/>
    </row>
    <row r="30" spans="1:9" x14ac:dyDescent="0.25">
      <c r="A30" s="91">
        <v>24</v>
      </c>
      <c r="B30" s="90">
        <v>46105</v>
      </c>
      <c r="C30" s="55" t="s">
        <v>0</v>
      </c>
      <c r="D30" s="55" t="s">
        <v>76</v>
      </c>
      <c r="E30" s="51">
        <v>50</v>
      </c>
      <c r="F30" s="51">
        <v>50</v>
      </c>
      <c r="G30" s="51">
        <f t="shared" si="0"/>
        <v>100</v>
      </c>
      <c r="H30" s="55" t="s">
        <v>71</v>
      </c>
      <c r="I30" s="57"/>
    </row>
    <row r="31" spans="1:9" x14ac:dyDescent="0.25">
      <c r="A31" s="91">
        <v>25</v>
      </c>
      <c r="B31" s="90">
        <v>46106</v>
      </c>
      <c r="C31" s="55" t="s">
        <v>0</v>
      </c>
      <c r="D31" s="55" t="s">
        <v>76</v>
      </c>
      <c r="E31" s="51">
        <v>50</v>
      </c>
      <c r="F31" s="51">
        <v>50</v>
      </c>
      <c r="G31" s="51">
        <f t="shared" si="0"/>
        <v>100</v>
      </c>
      <c r="H31" s="55" t="s">
        <v>71</v>
      </c>
      <c r="I31" s="57"/>
    </row>
    <row r="32" spans="1:9" x14ac:dyDescent="0.25">
      <c r="A32" s="91">
        <v>26</v>
      </c>
      <c r="B32" s="90">
        <v>46107</v>
      </c>
      <c r="C32" s="55" t="s">
        <v>0</v>
      </c>
      <c r="D32" s="55" t="s">
        <v>76</v>
      </c>
      <c r="E32" s="51">
        <v>50</v>
      </c>
      <c r="F32" s="51">
        <v>50</v>
      </c>
      <c r="G32" s="51">
        <f t="shared" si="0"/>
        <v>100</v>
      </c>
      <c r="H32" s="55" t="s">
        <v>71</v>
      </c>
      <c r="I32" s="57"/>
    </row>
    <row r="33" spans="1:9" x14ac:dyDescent="0.25">
      <c r="A33" s="91">
        <v>27</v>
      </c>
      <c r="B33" s="90">
        <v>46108</v>
      </c>
      <c r="C33" s="55" t="s">
        <v>0</v>
      </c>
      <c r="D33" s="55" t="s">
        <v>76</v>
      </c>
      <c r="E33" s="51">
        <v>50</v>
      </c>
      <c r="F33" s="51">
        <v>50</v>
      </c>
      <c r="G33" s="51">
        <f t="shared" si="0"/>
        <v>100</v>
      </c>
      <c r="H33" s="55" t="s">
        <v>71</v>
      </c>
      <c r="I33" s="57"/>
    </row>
    <row r="34" spans="1:9" x14ac:dyDescent="0.25">
      <c r="A34" s="91">
        <v>28</v>
      </c>
      <c r="B34" s="90">
        <v>46109</v>
      </c>
      <c r="C34" s="55" t="s">
        <v>0</v>
      </c>
      <c r="D34" s="55" t="s">
        <v>76</v>
      </c>
      <c r="E34" s="51">
        <v>50</v>
      </c>
      <c r="F34" s="51">
        <v>50</v>
      </c>
      <c r="G34" s="51">
        <f t="shared" si="0"/>
        <v>100</v>
      </c>
      <c r="H34" s="55" t="s">
        <v>71</v>
      </c>
      <c r="I34" s="57"/>
    </row>
    <row r="35" spans="1:9" x14ac:dyDescent="0.25">
      <c r="A35" s="91">
        <v>29</v>
      </c>
      <c r="B35" s="90">
        <v>46110</v>
      </c>
      <c r="C35" s="86"/>
      <c r="D35" s="86"/>
      <c r="E35" s="53"/>
      <c r="F35" s="53"/>
      <c r="G35" s="53"/>
      <c r="H35" s="86"/>
      <c r="I35" s="57"/>
    </row>
    <row r="36" spans="1:9" x14ac:dyDescent="0.25">
      <c r="A36" s="91">
        <v>30</v>
      </c>
      <c r="B36" s="90">
        <v>46111</v>
      </c>
      <c r="C36" s="55" t="s">
        <v>0</v>
      </c>
      <c r="D36" s="55" t="s">
        <v>76</v>
      </c>
      <c r="E36" s="51">
        <v>50</v>
      </c>
      <c r="F36" s="51">
        <v>50</v>
      </c>
      <c r="G36" s="51">
        <f t="shared" si="0"/>
        <v>100</v>
      </c>
      <c r="H36" s="55" t="s">
        <v>71</v>
      </c>
    </row>
    <row r="37" spans="1:9" x14ac:dyDescent="0.25">
      <c r="A37" s="91">
        <v>31</v>
      </c>
      <c r="B37" s="90">
        <v>46112</v>
      </c>
      <c r="C37" s="55" t="s">
        <v>0</v>
      </c>
      <c r="D37" s="55" t="s">
        <v>76</v>
      </c>
      <c r="E37" s="51">
        <v>50</v>
      </c>
      <c r="F37" s="51">
        <v>50</v>
      </c>
      <c r="G37" s="51">
        <f t="shared" si="0"/>
        <v>100</v>
      </c>
      <c r="H37" s="55" t="s">
        <v>71</v>
      </c>
    </row>
    <row r="38" spans="1:9" x14ac:dyDescent="0.25">
      <c r="A38" s="36"/>
      <c r="C38" s="36"/>
      <c r="D38" s="36"/>
      <c r="E38" s="51"/>
      <c r="H38" s="36"/>
    </row>
    <row r="39" spans="1:9" ht="15.6" x14ac:dyDescent="0.25">
      <c r="A39" s="80"/>
      <c r="B39" s="80"/>
      <c r="C39" s="87"/>
      <c r="D39" s="87"/>
      <c r="E39" s="135"/>
      <c r="F39" s="135"/>
      <c r="G39" s="51">
        <f>SUM(G8:G34)</f>
        <v>2900</v>
      </c>
    </row>
    <row r="40" spans="1:9" ht="14.4" x14ac:dyDescent="0.3">
      <c r="A40" s="80"/>
      <c r="B40" s="80"/>
      <c r="C40" s="123" t="s">
        <v>18</v>
      </c>
      <c r="D40" s="123"/>
      <c r="E40" s="123"/>
      <c r="F40" s="123"/>
      <c r="G40" s="94">
        <v>3</v>
      </c>
    </row>
    <row r="41" spans="1:9" ht="15.6" x14ac:dyDescent="0.3">
      <c r="A41" s="80"/>
      <c r="B41" s="80"/>
      <c r="C41" s="123" t="s">
        <v>19</v>
      </c>
      <c r="D41" s="123"/>
      <c r="E41" s="123"/>
      <c r="F41" s="123"/>
      <c r="G41" s="58">
        <f>G39*G40</f>
        <v>8700</v>
      </c>
      <c r="H41" s="95"/>
    </row>
    <row r="43" spans="1:9" x14ac:dyDescent="0.25">
      <c r="A43" s="136" t="s">
        <v>73</v>
      </c>
      <c r="B43" s="137"/>
      <c r="C43" s="137"/>
      <c r="D43" s="137"/>
      <c r="E43" s="137"/>
      <c r="F43" s="137"/>
      <c r="G43" s="137"/>
      <c r="H43" s="137"/>
      <c r="I43" s="138"/>
    </row>
  </sheetData>
  <mergeCells count="10">
    <mergeCell ref="C40:F40"/>
    <mergeCell ref="C41:F41"/>
    <mergeCell ref="F2:I2"/>
    <mergeCell ref="H4:I4"/>
    <mergeCell ref="A43:I43"/>
    <mergeCell ref="A1:C1"/>
    <mergeCell ref="H1:I1"/>
    <mergeCell ref="A2:C2"/>
    <mergeCell ref="H3:I3"/>
    <mergeCell ref="E39:F39"/>
  </mergeCells>
  <pageMargins left="0.25" right="0.25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1345-7D2D-4167-B8E5-E9536EAF5C37}">
  <dimension ref="A1:F33"/>
  <sheetViews>
    <sheetView workbookViewId="0">
      <selection activeCell="K4" sqref="K4"/>
    </sheetView>
  </sheetViews>
  <sheetFormatPr defaultRowHeight="14.4" x14ac:dyDescent="0.3"/>
  <cols>
    <col min="1" max="1" width="10.33203125" bestFit="1" customWidth="1"/>
    <col min="2" max="2" width="11" style="1" customWidth="1"/>
    <col min="3" max="3" width="16.5546875" bestFit="1" customWidth="1"/>
    <col min="4" max="4" width="16.44140625" customWidth="1"/>
    <col min="5" max="5" width="21.44140625" customWidth="1"/>
    <col min="6" max="6" width="13.44140625" customWidth="1"/>
  </cols>
  <sheetData>
    <row r="1" spans="1:6" ht="17.399999999999999" x14ac:dyDescent="0.3">
      <c r="A1" s="143" t="s">
        <v>63</v>
      </c>
      <c r="B1" s="143"/>
      <c r="C1" s="143"/>
      <c r="D1" s="143"/>
      <c r="E1" s="144" t="s">
        <v>92</v>
      </c>
      <c r="F1" s="144"/>
    </row>
    <row r="2" spans="1:6" ht="18" x14ac:dyDescent="0.35">
      <c r="A2" s="148" t="s">
        <v>40</v>
      </c>
      <c r="B2" s="148"/>
      <c r="C2" s="148"/>
      <c r="D2" s="148"/>
      <c r="E2" s="147" t="s">
        <v>78</v>
      </c>
      <c r="F2" s="142"/>
    </row>
    <row r="3" spans="1:6" ht="17.399999999999999" x14ac:dyDescent="0.3">
      <c r="A3" s="63" t="s">
        <v>7</v>
      </c>
      <c r="B3" s="102" t="s">
        <v>82</v>
      </c>
      <c r="C3" s="63" t="s">
        <v>57</v>
      </c>
      <c r="D3" s="103" t="s">
        <v>91</v>
      </c>
      <c r="E3" s="103" t="s">
        <v>93</v>
      </c>
      <c r="F3" s="1"/>
    </row>
    <row r="4" spans="1:6" ht="18" customHeight="1" x14ac:dyDescent="0.3">
      <c r="A4" s="107">
        <v>46113</v>
      </c>
      <c r="B4" s="2" t="s">
        <v>83</v>
      </c>
      <c r="C4" s="2" t="s">
        <v>78</v>
      </c>
      <c r="D4" s="101" t="s">
        <v>90</v>
      </c>
      <c r="E4" s="98"/>
    </row>
    <row r="5" spans="1:6" ht="16.8" customHeight="1" x14ac:dyDescent="0.3">
      <c r="A5" s="107">
        <v>46114</v>
      </c>
      <c r="B5" s="2" t="s">
        <v>84</v>
      </c>
      <c r="C5" s="2" t="s">
        <v>78</v>
      </c>
      <c r="D5" s="101" t="s">
        <v>90</v>
      </c>
      <c r="E5" s="98"/>
    </row>
    <row r="6" spans="1:6" ht="16.2" customHeight="1" x14ac:dyDescent="0.3">
      <c r="A6" s="107">
        <v>46115</v>
      </c>
      <c r="B6" s="2" t="s">
        <v>85</v>
      </c>
      <c r="C6" s="2" t="s">
        <v>78</v>
      </c>
      <c r="D6" s="101" t="s">
        <v>90</v>
      </c>
      <c r="E6" s="98"/>
    </row>
    <row r="7" spans="1:6" ht="16.2" customHeight="1" x14ac:dyDescent="0.3">
      <c r="A7" s="108">
        <v>46116</v>
      </c>
      <c r="B7" s="105" t="s">
        <v>86</v>
      </c>
      <c r="C7" s="105" t="s">
        <v>43</v>
      </c>
      <c r="D7" s="109"/>
      <c r="E7" s="98"/>
    </row>
    <row r="8" spans="1:6" ht="17.399999999999999" customHeight="1" x14ac:dyDescent="0.3">
      <c r="A8" s="107">
        <v>46117</v>
      </c>
      <c r="B8" s="2" t="s">
        <v>22</v>
      </c>
      <c r="C8" s="98"/>
      <c r="D8" s="98"/>
      <c r="E8" s="98"/>
    </row>
    <row r="9" spans="1:6" ht="16.8" customHeight="1" x14ac:dyDescent="0.3">
      <c r="A9" s="107">
        <v>46118</v>
      </c>
      <c r="B9" s="2" t="s">
        <v>87</v>
      </c>
      <c r="C9" s="2" t="s">
        <v>78</v>
      </c>
      <c r="D9" s="101" t="s">
        <v>90</v>
      </c>
      <c r="E9" s="98"/>
    </row>
    <row r="10" spans="1:6" ht="18" customHeight="1" x14ac:dyDescent="0.3">
      <c r="A10" s="107">
        <v>46119</v>
      </c>
      <c r="B10" s="2" t="s">
        <v>88</v>
      </c>
      <c r="C10" s="2" t="s">
        <v>78</v>
      </c>
      <c r="D10" s="101" t="s">
        <v>90</v>
      </c>
      <c r="E10" s="98"/>
    </row>
    <row r="11" spans="1:6" ht="18.600000000000001" customHeight="1" x14ac:dyDescent="0.3">
      <c r="A11" s="107">
        <v>46120</v>
      </c>
      <c r="B11" s="2" t="s">
        <v>89</v>
      </c>
      <c r="C11" s="2" t="s">
        <v>78</v>
      </c>
      <c r="D11" s="101" t="s">
        <v>90</v>
      </c>
      <c r="E11" s="98"/>
    </row>
    <row r="12" spans="1:6" ht="16.2" customHeight="1" x14ac:dyDescent="0.3">
      <c r="A12" s="107">
        <v>46121</v>
      </c>
      <c r="B12" s="2" t="s">
        <v>84</v>
      </c>
      <c r="C12" s="2" t="s">
        <v>78</v>
      </c>
      <c r="D12" s="101" t="s">
        <v>90</v>
      </c>
      <c r="E12" s="98"/>
    </row>
    <row r="13" spans="1:6" ht="16.8" customHeight="1" x14ac:dyDescent="0.3">
      <c r="A13" s="107">
        <v>46122</v>
      </c>
      <c r="B13" s="2" t="s">
        <v>85</v>
      </c>
      <c r="C13" s="2" t="s">
        <v>78</v>
      </c>
      <c r="D13" s="101" t="s">
        <v>90</v>
      </c>
      <c r="E13" s="98"/>
    </row>
    <row r="14" spans="1:6" ht="17.399999999999999" customHeight="1" x14ac:dyDescent="0.3">
      <c r="A14" s="107">
        <v>46123</v>
      </c>
      <c r="B14" s="2" t="s">
        <v>86</v>
      </c>
      <c r="C14" s="2" t="s">
        <v>78</v>
      </c>
      <c r="D14" s="101" t="s">
        <v>90</v>
      </c>
      <c r="E14" s="98"/>
    </row>
    <row r="15" spans="1:6" ht="15.6" customHeight="1" x14ac:dyDescent="0.3">
      <c r="A15" s="110">
        <v>46124</v>
      </c>
      <c r="B15" s="104" t="s">
        <v>22</v>
      </c>
      <c r="C15" s="111"/>
      <c r="D15" s="111"/>
      <c r="E15" s="98"/>
    </row>
    <row r="16" spans="1:6" ht="18" customHeight="1" x14ac:dyDescent="0.3">
      <c r="A16" s="107">
        <v>46125</v>
      </c>
      <c r="B16" s="2" t="s">
        <v>87</v>
      </c>
      <c r="C16" s="2" t="s">
        <v>78</v>
      </c>
      <c r="D16" s="101" t="s">
        <v>90</v>
      </c>
      <c r="E16" s="98"/>
    </row>
    <row r="17" spans="1:5" ht="18" customHeight="1" x14ac:dyDescent="0.3">
      <c r="A17" s="107">
        <v>46126</v>
      </c>
      <c r="B17" s="2" t="s">
        <v>88</v>
      </c>
      <c r="C17" s="2" t="s">
        <v>78</v>
      </c>
      <c r="D17" s="101" t="s">
        <v>90</v>
      </c>
      <c r="E17" s="98"/>
    </row>
    <row r="18" spans="1:5" ht="16.8" customHeight="1" x14ac:dyDescent="0.3">
      <c r="A18" s="107">
        <v>46127</v>
      </c>
      <c r="B18" s="2" t="s">
        <v>89</v>
      </c>
      <c r="C18" s="2" t="s">
        <v>78</v>
      </c>
      <c r="D18" s="101" t="s">
        <v>90</v>
      </c>
      <c r="E18" s="98"/>
    </row>
    <row r="19" spans="1:5" ht="17.399999999999999" customHeight="1" x14ac:dyDescent="0.3">
      <c r="A19" s="107">
        <v>46128</v>
      </c>
      <c r="B19" s="2" t="s">
        <v>84</v>
      </c>
      <c r="C19" s="2" t="s">
        <v>78</v>
      </c>
      <c r="D19" s="101" t="s">
        <v>90</v>
      </c>
      <c r="E19" s="98"/>
    </row>
    <row r="20" spans="1:5" ht="16.2" customHeight="1" x14ac:dyDescent="0.3">
      <c r="A20" s="107">
        <v>46129</v>
      </c>
      <c r="B20" s="2" t="s">
        <v>85</v>
      </c>
      <c r="C20" s="2" t="s">
        <v>78</v>
      </c>
      <c r="D20" s="101" t="s">
        <v>90</v>
      </c>
      <c r="E20" s="98"/>
    </row>
    <row r="21" spans="1:5" ht="16.8" customHeight="1" x14ac:dyDescent="0.3">
      <c r="A21" s="107">
        <v>46130</v>
      </c>
      <c r="B21" s="2" t="s">
        <v>86</v>
      </c>
      <c r="C21" s="2" t="s">
        <v>78</v>
      </c>
      <c r="D21" s="101" t="s">
        <v>90</v>
      </c>
      <c r="E21" s="98"/>
    </row>
    <row r="22" spans="1:5" ht="16.2" customHeight="1" x14ac:dyDescent="0.3">
      <c r="A22" s="110">
        <v>46131</v>
      </c>
      <c r="B22" s="104" t="s">
        <v>22</v>
      </c>
      <c r="C22" s="111"/>
      <c r="D22" s="111"/>
      <c r="E22" s="98"/>
    </row>
    <row r="23" spans="1:5" ht="16.2" customHeight="1" x14ac:dyDescent="0.3">
      <c r="A23" s="107">
        <v>46132</v>
      </c>
      <c r="B23" s="2" t="s">
        <v>87</v>
      </c>
      <c r="C23" s="2" t="s">
        <v>78</v>
      </c>
      <c r="D23" s="101" t="s">
        <v>90</v>
      </c>
      <c r="E23" s="98"/>
    </row>
    <row r="24" spans="1:5" ht="17.399999999999999" customHeight="1" x14ac:dyDescent="0.3">
      <c r="A24" s="107">
        <v>46133</v>
      </c>
      <c r="B24" s="2" t="s">
        <v>88</v>
      </c>
      <c r="C24" s="2" t="s">
        <v>78</v>
      </c>
      <c r="D24" s="101" t="s">
        <v>90</v>
      </c>
      <c r="E24" s="98"/>
    </row>
    <row r="25" spans="1:5" ht="15" customHeight="1" x14ac:dyDescent="0.3">
      <c r="A25" s="107">
        <v>46134</v>
      </c>
      <c r="B25" s="2" t="s">
        <v>89</v>
      </c>
      <c r="C25" s="2" t="s">
        <v>78</v>
      </c>
      <c r="D25" s="101" t="s">
        <v>90</v>
      </c>
      <c r="E25" s="98"/>
    </row>
    <row r="26" spans="1:5" ht="15" customHeight="1" x14ac:dyDescent="0.3">
      <c r="A26" s="107">
        <v>46135</v>
      </c>
      <c r="B26" s="2" t="s">
        <v>84</v>
      </c>
      <c r="C26" s="2" t="s">
        <v>78</v>
      </c>
      <c r="D26" s="101" t="s">
        <v>90</v>
      </c>
      <c r="E26" s="98"/>
    </row>
    <row r="27" spans="1:5" ht="16.8" customHeight="1" x14ac:dyDescent="0.3">
      <c r="A27" s="107">
        <v>46136</v>
      </c>
      <c r="B27" s="2" t="s">
        <v>85</v>
      </c>
      <c r="C27" s="2" t="s">
        <v>78</v>
      </c>
      <c r="D27" s="101" t="s">
        <v>90</v>
      </c>
      <c r="E27" s="98"/>
    </row>
    <row r="28" spans="1:5" ht="15.6" customHeight="1" x14ac:dyDescent="0.3">
      <c r="A28" s="107">
        <v>46137</v>
      </c>
      <c r="B28" s="2" t="s">
        <v>86</v>
      </c>
      <c r="C28" s="2" t="s">
        <v>78</v>
      </c>
      <c r="D28" s="101" t="s">
        <v>90</v>
      </c>
      <c r="E28" s="98"/>
    </row>
    <row r="29" spans="1:5" ht="17.399999999999999" customHeight="1" x14ac:dyDescent="0.3">
      <c r="A29" s="112">
        <v>46138</v>
      </c>
      <c r="B29" s="106" t="s">
        <v>22</v>
      </c>
      <c r="C29" s="106" t="s">
        <v>78</v>
      </c>
      <c r="D29" s="35" t="s">
        <v>90</v>
      </c>
      <c r="E29" s="98"/>
    </row>
    <row r="30" spans="1:5" ht="16.2" customHeight="1" x14ac:dyDescent="0.3">
      <c r="A30" s="107">
        <v>46139</v>
      </c>
      <c r="B30" s="2" t="s">
        <v>87</v>
      </c>
      <c r="C30" s="2" t="s">
        <v>78</v>
      </c>
      <c r="D30" s="101" t="s">
        <v>90</v>
      </c>
      <c r="E30" s="98"/>
    </row>
    <row r="31" spans="1:5" ht="17.399999999999999" customHeight="1" x14ac:dyDescent="0.3">
      <c r="A31" s="107">
        <v>46140</v>
      </c>
      <c r="B31" s="2" t="s">
        <v>88</v>
      </c>
      <c r="C31" s="2" t="s">
        <v>78</v>
      </c>
      <c r="D31" s="101" t="s">
        <v>90</v>
      </c>
      <c r="E31" s="98"/>
    </row>
    <row r="32" spans="1:5" ht="16.2" customHeight="1" x14ac:dyDescent="0.3">
      <c r="A32" s="107">
        <v>46141</v>
      </c>
      <c r="B32" s="2" t="s">
        <v>89</v>
      </c>
      <c r="C32" s="2" t="s">
        <v>78</v>
      </c>
      <c r="D32" s="101" t="s">
        <v>90</v>
      </c>
      <c r="E32" s="98"/>
    </row>
    <row r="33" spans="1:5" ht="16.8" customHeight="1" x14ac:dyDescent="0.3">
      <c r="A33" s="107">
        <v>46142</v>
      </c>
      <c r="B33" s="2" t="s">
        <v>84</v>
      </c>
      <c r="C33" s="2" t="s">
        <v>78</v>
      </c>
      <c r="D33" s="101" t="s">
        <v>90</v>
      </c>
      <c r="E33" s="98"/>
    </row>
  </sheetData>
  <mergeCells count="4">
    <mergeCell ref="A1:D1"/>
    <mergeCell ref="E1:F1"/>
    <mergeCell ref="E2:F2"/>
    <mergeCell ref="A2:D2"/>
  </mergeCells>
  <phoneticPr fontId="17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BF56B-B138-4C55-A25E-0F10AC12192D}">
  <dimension ref="A1:I40"/>
  <sheetViews>
    <sheetView view="pageLayout" zoomScaleNormal="100" workbookViewId="0">
      <selection activeCell="E19" sqref="E19"/>
    </sheetView>
  </sheetViews>
  <sheetFormatPr defaultRowHeight="14.4" x14ac:dyDescent="0.3"/>
  <cols>
    <col min="1" max="1" width="6.88671875" style="1" customWidth="1"/>
    <col min="2" max="2" width="12" style="1" customWidth="1"/>
    <col min="3" max="3" width="11.6640625" style="61" customWidth="1"/>
    <col min="4" max="4" width="16" style="1" customWidth="1"/>
    <col min="5" max="5" width="8" customWidth="1"/>
    <col min="6" max="7" width="7.44140625" customWidth="1"/>
    <col min="8" max="8" width="13.88671875" style="1" customWidth="1"/>
    <col min="9" max="9" width="9.21875" customWidth="1"/>
  </cols>
  <sheetData>
    <row r="1" spans="1:9" x14ac:dyDescent="0.3">
      <c r="A1" s="140" t="s">
        <v>47</v>
      </c>
      <c r="B1" s="140"/>
      <c r="C1" s="140"/>
      <c r="D1" s="96"/>
      <c r="E1" s="61"/>
      <c r="F1" s="61"/>
      <c r="G1" s="61"/>
      <c r="H1" s="141" t="s">
        <v>81</v>
      </c>
      <c r="I1" s="141"/>
    </row>
    <row r="2" spans="1:9" x14ac:dyDescent="0.3">
      <c r="A2" s="140" t="s">
        <v>16</v>
      </c>
      <c r="B2" s="140"/>
      <c r="C2" s="140"/>
      <c r="D2" s="96"/>
      <c r="E2" s="61"/>
      <c r="F2" s="139" t="s">
        <v>48</v>
      </c>
      <c r="G2" s="139"/>
      <c r="H2" s="139"/>
      <c r="I2" s="139"/>
    </row>
    <row r="3" spans="1:9" x14ac:dyDescent="0.3">
      <c r="A3" s="78"/>
      <c r="B3" s="78"/>
      <c r="C3" s="83"/>
      <c r="D3" s="83"/>
      <c r="E3" s="61"/>
      <c r="F3" s="61"/>
      <c r="G3" s="61"/>
      <c r="H3" s="141" t="s">
        <v>46</v>
      </c>
      <c r="I3" s="141"/>
    </row>
    <row r="4" spans="1:9" x14ac:dyDescent="0.3">
      <c r="A4" s="78"/>
      <c r="B4" s="78"/>
      <c r="C4" s="83"/>
      <c r="D4" s="83"/>
      <c r="E4" s="36"/>
      <c r="F4" s="36"/>
      <c r="G4" s="36"/>
      <c r="H4" s="145">
        <v>46113</v>
      </c>
      <c r="I4" s="146"/>
    </row>
    <row r="5" spans="1:9" ht="27.6" x14ac:dyDescent="0.3">
      <c r="A5" s="79" t="s">
        <v>6</v>
      </c>
      <c r="B5" s="79" t="s">
        <v>7</v>
      </c>
      <c r="C5" s="84" t="s">
        <v>8</v>
      </c>
      <c r="D5" s="49" t="s">
        <v>9</v>
      </c>
      <c r="E5" s="49" t="s">
        <v>10</v>
      </c>
      <c r="F5" s="35" t="s">
        <v>11</v>
      </c>
      <c r="G5" s="50" t="s">
        <v>12</v>
      </c>
      <c r="H5" s="84" t="s">
        <v>13</v>
      </c>
      <c r="I5" s="49" t="s">
        <v>14</v>
      </c>
    </row>
    <row r="6" spans="1:9" x14ac:dyDescent="0.3">
      <c r="A6" s="2">
        <v>1</v>
      </c>
      <c r="B6" s="97">
        <v>46113</v>
      </c>
      <c r="C6" s="51" t="s">
        <v>79</v>
      </c>
      <c r="D6" s="2" t="s">
        <v>78</v>
      </c>
      <c r="E6" s="2">
        <v>45</v>
      </c>
      <c r="F6" s="2">
        <v>45</v>
      </c>
      <c r="G6" s="2">
        <f>E6+F6</f>
        <v>90</v>
      </c>
      <c r="H6" s="2" t="s">
        <v>80</v>
      </c>
      <c r="I6" s="98"/>
    </row>
    <row r="7" spans="1:9" x14ac:dyDescent="0.3">
      <c r="A7" s="2">
        <v>2</v>
      </c>
      <c r="B7" s="97">
        <v>46114</v>
      </c>
      <c r="C7" s="51" t="s">
        <v>79</v>
      </c>
      <c r="D7" s="2" t="s">
        <v>78</v>
      </c>
      <c r="E7" s="2">
        <v>45</v>
      </c>
      <c r="F7" s="2">
        <v>45</v>
      </c>
      <c r="G7" s="2">
        <f t="shared" ref="G7:G35" si="0">E7+F7</f>
        <v>90</v>
      </c>
      <c r="H7" s="2" t="s">
        <v>80</v>
      </c>
      <c r="I7" s="98"/>
    </row>
    <row r="8" spans="1:9" x14ac:dyDescent="0.3">
      <c r="A8" s="2">
        <v>3</v>
      </c>
      <c r="B8" s="97">
        <v>46115</v>
      </c>
      <c r="C8" s="51" t="s">
        <v>79</v>
      </c>
      <c r="D8" s="2" t="s">
        <v>78</v>
      </c>
      <c r="E8" s="2">
        <v>45</v>
      </c>
      <c r="F8" s="2">
        <v>45</v>
      </c>
      <c r="G8" s="2">
        <f t="shared" si="0"/>
        <v>90</v>
      </c>
      <c r="H8" s="2" t="s">
        <v>80</v>
      </c>
      <c r="I8" s="98"/>
    </row>
    <row r="9" spans="1:9" x14ac:dyDescent="0.3">
      <c r="A9" s="56">
        <v>4</v>
      </c>
      <c r="B9" s="99">
        <v>46116</v>
      </c>
      <c r="C9" s="56" t="s">
        <v>43</v>
      </c>
      <c r="D9" s="100"/>
      <c r="E9" s="100"/>
      <c r="F9" s="100"/>
      <c r="G9" s="100"/>
      <c r="H9" s="100"/>
      <c r="I9" s="98"/>
    </row>
    <row r="10" spans="1:9" x14ac:dyDescent="0.3">
      <c r="A10" s="56">
        <v>5</v>
      </c>
      <c r="B10" s="99">
        <v>46117</v>
      </c>
      <c r="C10" s="56" t="s">
        <v>44</v>
      </c>
      <c r="D10" s="100"/>
      <c r="E10" s="100"/>
      <c r="F10" s="100"/>
      <c r="G10" s="100"/>
      <c r="H10" s="100"/>
      <c r="I10" s="98"/>
    </row>
    <row r="11" spans="1:9" x14ac:dyDescent="0.3">
      <c r="A11" s="2">
        <v>6</v>
      </c>
      <c r="B11" s="97">
        <v>46118</v>
      </c>
      <c r="C11" s="51" t="s">
        <v>79</v>
      </c>
      <c r="D11" s="2" t="s">
        <v>78</v>
      </c>
      <c r="E11" s="2">
        <v>45</v>
      </c>
      <c r="F11" s="2">
        <v>45</v>
      </c>
      <c r="G11" s="2">
        <f t="shared" si="0"/>
        <v>90</v>
      </c>
      <c r="H11" s="2" t="s">
        <v>80</v>
      </c>
      <c r="I11" s="98" t="s">
        <v>77</v>
      </c>
    </row>
    <row r="12" spans="1:9" x14ac:dyDescent="0.3">
      <c r="A12" s="2">
        <v>7</v>
      </c>
      <c r="B12" s="97">
        <v>46119</v>
      </c>
      <c r="C12" s="51" t="s">
        <v>79</v>
      </c>
      <c r="D12" s="2" t="s">
        <v>78</v>
      </c>
      <c r="E12" s="2">
        <v>45</v>
      </c>
      <c r="F12" s="2">
        <v>45</v>
      </c>
      <c r="G12" s="2">
        <f t="shared" si="0"/>
        <v>90</v>
      </c>
      <c r="H12" s="2" t="s">
        <v>80</v>
      </c>
      <c r="I12" s="98"/>
    </row>
    <row r="13" spans="1:9" x14ac:dyDescent="0.3">
      <c r="A13" s="2">
        <v>8</v>
      </c>
      <c r="B13" s="97">
        <v>46120</v>
      </c>
      <c r="C13" s="51" t="s">
        <v>79</v>
      </c>
      <c r="D13" s="2" t="s">
        <v>78</v>
      </c>
      <c r="E13" s="2">
        <v>45</v>
      </c>
      <c r="F13" s="2">
        <v>45</v>
      </c>
      <c r="G13" s="2">
        <f t="shared" si="0"/>
        <v>90</v>
      </c>
      <c r="H13" s="2" t="s">
        <v>80</v>
      </c>
      <c r="I13" s="98"/>
    </row>
    <row r="14" spans="1:9" x14ac:dyDescent="0.3">
      <c r="A14" s="2">
        <v>9</v>
      </c>
      <c r="B14" s="97">
        <v>46121</v>
      </c>
      <c r="C14" s="51" t="s">
        <v>79</v>
      </c>
      <c r="D14" s="2" t="s">
        <v>78</v>
      </c>
      <c r="E14" s="2">
        <v>45</v>
      </c>
      <c r="F14" s="2">
        <v>45</v>
      </c>
      <c r="G14" s="2">
        <f t="shared" si="0"/>
        <v>90</v>
      </c>
      <c r="H14" s="2" t="s">
        <v>80</v>
      </c>
      <c r="I14" s="98"/>
    </row>
    <row r="15" spans="1:9" x14ac:dyDescent="0.3">
      <c r="A15" s="2">
        <v>10</v>
      </c>
      <c r="B15" s="97">
        <v>46122</v>
      </c>
      <c r="C15" s="51" t="s">
        <v>79</v>
      </c>
      <c r="D15" s="2" t="s">
        <v>78</v>
      </c>
      <c r="E15" s="2">
        <v>45</v>
      </c>
      <c r="F15" s="2">
        <v>45</v>
      </c>
      <c r="G15" s="2">
        <f t="shared" si="0"/>
        <v>90</v>
      </c>
      <c r="H15" s="2" t="s">
        <v>80</v>
      </c>
      <c r="I15" s="98"/>
    </row>
    <row r="16" spans="1:9" x14ac:dyDescent="0.3">
      <c r="A16" s="2">
        <v>11</v>
      </c>
      <c r="B16" s="97">
        <v>46123</v>
      </c>
      <c r="C16" s="51" t="s">
        <v>79</v>
      </c>
      <c r="D16" s="2" t="s">
        <v>78</v>
      </c>
      <c r="E16" s="2">
        <v>45</v>
      </c>
      <c r="F16" s="2">
        <v>45</v>
      </c>
      <c r="G16" s="2">
        <f t="shared" si="0"/>
        <v>90</v>
      </c>
      <c r="H16" s="2" t="s">
        <v>80</v>
      </c>
      <c r="I16" s="98"/>
    </row>
    <row r="17" spans="1:9" x14ac:dyDescent="0.3">
      <c r="A17" s="56">
        <v>12</v>
      </c>
      <c r="B17" s="99">
        <v>46124</v>
      </c>
      <c r="C17" s="56" t="s">
        <v>44</v>
      </c>
      <c r="D17" s="100"/>
      <c r="E17" s="100"/>
      <c r="F17" s="100"/>
      <c r="G17" s="100"/>
      <c r="H17" s="100"/>
      <c r="I17" s="98"/>
    </row>
    <row r="18" spans="1:9" x14ac:dyDescent="0.3">
      <c r="A18" s="2">
        <v>13</v>
      </c>
      <c r="B18" s="97">
        <v>46125</v>
      </c>
      <c r="C18" s="51" t="s">
        <v>79</v>
      </c>
      <c r="D18" s="2" t="s">
        <v>78</v>
      </c>
      <c r="E18" s="2">
        <v>45</v>
      </c>
      <c r="F18" s="2">
        <v>45</v>
      </c>
      <c r="G18" s="2">
        <f t="shared" si="0"/>
        <v>90</v>
      </c>
      <c r="H18" s="2" t="s">
        <v>80</v>
      </c>
      <c r="I18" s="98"/>
    </row>
    <row r="19" spans="1:9" x14ac:dyDescent="0.3">
      <c r="A19" s="2">
        <v>14</v>
      </c>
      <c r="B19" s="97">
        <v>46126</v>
      </c>
      <c r="C19" s="51" t="s">
        <v>79</v>
      </c>
      <c r="D19" s="2" t="s">
        <v>78</v>
      </c>
      <c r="E19" s="2">
        <v>45</v>
      </c>
      <c r="F19" s="2">
        <v>45</v>
      </c>
      <c r="G19" s="2">
        <f t="shared" si="0"/>
        <v>90</v>
      </c>
      <c r="H19" s="2" t="s">
        <v>80</v>
      </c>
      <c r="I19" s="98"/>
    </row>
    <row r="20" spans="1:9" x14ac:dyDescent="0.3">
      <c r="A20" s="2">
        <v>15</v>
      </c>
      <c r="B20" s="97">
        <v>46127</v>
      </c>
      <c r="C20" s="51" t="s">
        <v>79</v>
      </c>
      <c r="D20" s="2" t="s">
        <v>78</v>
      </c>
      <c r="E20" s="2">
        <v>45</v>
      </c>
      <c r="F20" s="2">
        <v>45</v>
      </c>
      <c r="G20" s="2">
        <f t="shared" si="0"/>
        <v>90</v>
      </c>
      <c r="H20" s="2" t="s">
        <v>80</v>
      </c>
      <c r="I20" s="98"/>
    </row>
    <row r="21" spans="1:9" x14ac:dyDescent="0.3">
      <c r="A21" s="2">
        <v>16</v>
      </c>
      <c r="B21" s="97">
        <v>46128</v>
      </c>
      <c r="C21" s="51" t="s">
        <v>79</v>
      </c>
      <c r="D21" s="2" t="s">
        <v>78</v>
      </c>
      <c r="E21" s="2">
        <v>45</v>
      </c>
      <c r="F21" s="2">
        <v>45</v>
      </c>
      <c r="G21" s="2">
        <f t="shared" si="0"/>
        <v>90</v>
      </c>
      <c r="H21" s="2" t="s">
        <v>80</v>
      </c>
      <c r="I21" s="98"/>
    </row>
    <row r="22" spans="1:9" x14ac:dyDescent="0.3">
      <c r="A22" s="2">
        <v>17</v>
      </c>
      <c r="B22" s="97">
        <v>46129</v>
      </c>
      <c r="C22" s="51" t="s">
        <v>79</v>
      </c>
      <c r="D22" s="2" t="s">
        <v>78</v>
      </c>
      <c r="E22" s="2">
        <v>45</v>
      </c>
      <c r="F22" s="2">
        <v>45</v>
      </c>
      <c r="G22" s="2">
        <f t="shared" si="0"/>
        <v>90</v>
      </c>
      <c r="H22" s="2" t="s">
        <v>80</v>
      </c>
      <c r="I22" s="98"/>
    </row>
    <row r="23" spans="1:9" x14ac:dyDescent="0.3">
      <c r="A23" s="2">
        <v>18</v>
      </c>
      <c r="B23" s="97">
        <v>46130</v>
      </c>
      <c r="C23" s="51" t="s">
        <v>79</v>
      </c>
      <c r="D23" s="2" t="s">
        <v>78</v>
      </c>
      <c r="E23" s="2">
        <v>45</v>
      </c>
      <c r="F23" s="2">
        <v>45</v>
      </c>
      <c r="G23" s="2">
        <f t="shared" si="0"/>
        <v>90</v>
      </c>
      <c r="H23" s="2" t="s">
        <v>80</v>
      </c>
      <c r="I23" s="98"/>
    </row>
    <row r="24" spans="1:9" ht="15.6" customHeight="1" x14ac:dyDescent="0.3">
      <c r="A24" s="56">
        <v>19</v>
      </c>
      <c r="B24" s="99">
        <v>46131</v>
      </c>
      <c r="C24" s="56" t="s">
        <v>44</v>
      </c>
      <c r="D24" s="100"/>
      <c r="E24" s="100"/>
      <c r="F24" s="100"/>
      <c r="G24" s="100"/>
      <c r="H24" s="100"/>
      <c r="I24" s="98"/>
    </row>
    <row r="25" spans="1:9" x14ac:dyDescent="0.3">
      <c r="A25" s="2">
        <v>20</v>
      </c>
      <c r="B25" s="97">
        <v>46132</v>
      </c>
      <c r="C25" s="51" t="s">
        <v>79</v>
      </c>
      <c r="D25" s="2" t="s">
        <v>78</v>
      </c>
      <c r="E25" s="2">
        <v>45</v>
      </c>
      <c r="F25" s="2">
        <v>45</v>
      </c>
      <c r="G25" s="2">
        <f t="shared" si="0"/>
        <v>90</v>
      </c>
      <c r="H25" s="2" t="s">
        <v>80</v>
      </c>
      <c r="I25" s="98"/>
    </row>
    <row r="26" spans="1:9" x14ac:dyDescent="0.3">
      <c r="A26" s="2">
        <v>21</v>
      </c>
      <c r="B26" s="97">
        <v>46133</v>
      </c>
      <c r="C26" s="51" t="s">
        <v>79</v>
      </c>
      <c r="D26" s="2" t="s">
        <v>78</v>
      </c>
      <c r="E26" s="2">
        <v>45</v>
      </c>
      <c r="F26" s="2">
        <v>45</v>
      </c>
      <c r="G26" s="2">
        <f t="shared" si="0"/>
        <v>90</v>
      </c>
      <c r="H26" s="2" t="s">
        <v>80</v>
      </c>
      <c r="I26" s="98"/>
    </row>
    <row r="27" spans="1:9" x14ac:dyDescent="0.3">
      <c r="A27" s="2">
        <v>22</v>
      </c>
      <c r="B27" s="97">
        <v>46134</v>
      </c>
      <c r="C27" s="51" t="s">
        <v>79</v>
      </c>
      <c r="D27" s="2" t="s">
        <v>78</v>
      </c>
      <c r="E27" s="2">
        <v>45</v>
      </c>
      <c r="F27" s="2">
        <v>45</v>
      </c>
      <c r="G27" s="2">
        <f t="shared" si="0"/>
        <v>90</v>
      </c>
      <c r="H27" s="2" t="s">
        <v>80</v>
      </c>
      <c r="I27" s="98"/>
    </row>
    <row r="28" spans="1:9" x14ac:dyDescent="0.3">
      <c r="A28" s="2">
        <v>23</v>
      </c>
      <c r="B28" s="97">
        <v>46135</v>
      </c>
      <c r="C28" s="51" t="s">
        <v>79</v>
      </c>
      <c r="D28" s="2" t="s">
        <v>78</v>
      </c>
      <c r="E28" s="2">
        <v>45</v>
      </c>
      <c r="F28" s="2">
        <v>45</v>
      </c>
      <c r="G28" s="2">
        <f t="shared" si="0"/>
        <v>90</v>
      </c>
      <c r="H28" s="2" t="s">
        <v>80</v>
      </c>
      <c r="I28" s="98"/>
    </row>
    <row r="29" spans="1:9" x14ac:dyDescent="0.3">
      <c r="A29" s="2">
        <v>24</v>
      </c>
      <c r="B29" s="97">
        <v>46136</v>
      </c>
      <c r="C29" s="51" t="s">
        <v>79</v>
      </c>
      <c r="D29" s="2" t="s">
        <v>78</v>
      </c>
      <c r="E29" s="2">
        <v>45</v>
      </c>
      <c r="F29" s="2">
        <v>45</v>
      </c>
      <c r="G29" s="2">
        <f t="shared" si="0"/>
        <v>90</v>
      </c>
      <c r="H29" s="2" t="s">
        <v>80</v>
      </c>
      <c r="I29" s="98"/>
    </row>
    <row r="30" spans="1:9" x14ac:dyDescent="0.3">
      <c r="A30" s="2">
        <v>25</v>
      </c>
      <c r="B30" s="97">
        <v>46137</v>
      </c>
      <c r="C30" s="51" t="s">
        <v>79</v>
      </c>
      <c r="D30" s="2" t="s">
        <v>78</v>
      </c>
      <c r="E30" s="2">
        <v>45</v>
      </c>
      <c r="F30" s="2">
        <v>45</v>
      </c>
      <c r="G30" s="2">
        <f t="shared" si="0"/>
        <v>90</v>
      </c>
      <c r="H30" s="2" t="s">
        <v>80</v>
      </c>
      <c r="I30" s="98"/>
    </row>
    <row r="31" spans="1:9" x14ac:dyDescent="0.3">
      <c r="A31" s="2">
        <v>26</v>
      </c>
      <c r="B31" s="97">
        <v>46138</v>
      </c>
      <c r="C31" s="51" t="s">
        <v>79</v>
      </c>
      <c r="D31" s="2" t="s">
        <v>78</v>
      </c>
      <c r="E31" s="2">
        <v>45</v>
      </c>
      <c r="F31" s="2">
        <v>45</v>
      </c>
      <c r="G31" s="2">
        <f t="shared" si="0"/>
        <v>90</v>
      </c>
      <c r="H31" s="2" t="s">
        <v>80</v>
      </c>
      <c r="I31" s="98"/>
    </row>
    <row r="32" spans="1:9" x14ac:dyDescent="0.3">
      <c r="A32" s="2">
        <v>27</v>
      </c>
      <c r="B32" s="97">
        <v>46139</v>
      </c>
      <c r="C32" s="51" t="s">
        <v>79</v>
      </c>
      <c r="D32" s="2" t="s">
        <v>78</v>
      </c>
      <c r="E32" s="2">
        <v>45</v>
      </c>
      <c r="F32" s="2">
        <v>45</v>
      </c>
      <c r="G32" s="2">
        <f t="shared" si="0"/>
        <v>90</v>
      </c>
      <c r="H32" s="2" t="s">
        <v>80</v>
      </c>
      <c r="I32" s="98"/>
    </row>
    <row r="33" spans="1:9" x14ac:dyDescent="0.3">
      <c r="A33" s="2">
        <v>28</v>
      </c>
      <c r="B33" s="97">
        <v>46140</v>
      </c>
      <c r="C33" s="51" t="s">
        <v>79</v>
      </c>
      <c r="D33" s="2" t="s">
        <v>78</v>
      </c>
      <c r="E33" s="2">
        <v>45</v>
      </c>
      <c r="F33" s="2">
        <v>45</v>
      </c>
      <c r="G33" s="2">
        <f t="shared" si="0"/>
        <v>90</v>
      </c>
      <c r="H33" s="2" t="s">
        <v>80</v>
      </c>
      <c r="I33" s="98"/>
    </row>
    <row r="34" spans="1:9" x14ac:dyDescent="0.3">
      <c r="A34" s="2">
        <v>29</v>
      </c>
      <c r="B34" s="97">
        <v>46141</v>
      </c>
      <c r="C34" s="51" t="s">
        <v>79</v>
      </c>
      <c r="D34" s="2" t="s">
        <v>78</v>
      </c>
      <c r="E34" s="2">
        <v>45</v>
      </c>
      <c r="F34" s="2">
        <v>45</v>
      </c>
      <c r="G34" s="2">
        <f t="shared" si="0"/>
        <v>90</v>
      </c>
      <c r="H34" s="2" t="s">
        <v>80</v>
      </c>
      <c r="I34" s="98"/>
    </row>
    <row r="35" spans="1:9" x14ac:dyDescent="0.3">
      <c r="A35" s="2">
        <v>30</v>
      </c>
      <c r="B35" s="97">
        <v>46142</v>
      </c>
      <c r="C35" s="51" t="s">
        <v>79</v>
      </c>
      <c r="D35" s="2" t="s">
        <v>78</v>
      </c>
      <c r="E35" s="2">
        <v>45</v>
      </c>
      <c r="F35" s="2">
        <v>45</v>
      </c>
      <c r="G35" s="2">
        <f t="shared" si="0"/>
        <v>90</v>
      </c>
      <c r="H35" s="2" t="s">
        <v>80</v>
      </c>
      <c r="I35" s="98"/>
    </row>
    <row r="36" spans="1:9" x14ac:dyDescent="0.3">
      <c r="A36"/>
      <c r="B36"/>
      <c r="C36"/>
      <c r="D36"/>
      <c r="H36"/>
    </row>
    <row r="37" spans="1:9" ht="15.6" x14ac:dyDescent="0.3">
      <c r="C37" s="2"/>
      <c r="D37" s="134" t="s">
        <v>17</v>
      </c>
      <c r="E37" s="135"/>
      <c r="F37" s="135"/>
      <c r="G37" s="51">
        <f>SUM(G6:G35)</f>
        <v>2340</v>
      </c>
    </row>
    <row r="38" spans="1:9" x14ac:dyDescent="0.3">
      <c r="C38" s="123" t="s">
        <v>18</v>
      </c>
      <c r="D38" s="123"/>
      <c r="E38" s="123"/>
      <c r="F38" s="123"/>
      <c r="G38" s="51">
        <v>3</v>
      </c>
    </row>
    <row r="39" spans="1:9" ht="15.6" x14ac:dyDescent="0.3">
      <c r="C39" s="123" t="s">
        <v>19</v>
      </c>
      <c r="D39" s="123"/>
      <c r="E39" s="123"/>
      <c r="F39" s="123"/>
      <c r="G39" s="58">
        <f>G37*G38</f>
        <v>7020</v>
      </c>
    </row>
    <row r="40" spans="1:9" x14ac:dyDescent="0.3">
      <c r="A40" s="140" t="s">
        <v>94</v>
      </c>
      <c r="B40" s="140"/>
      <c r="C40" s="140"/>
      <c r="D40" s="140"/>
      <c r="E40" s="140"/>
      <c r="F40" s="140"/>
      <c r="G40" s="140"/>
    </row>
  </sheetData>
  <mergeCells count="10">
    <mergeCell ref="D37:F37"/>
    <mergeCell ref="C38:F38"/>
    <mergeCell ref="C39:F39"/>
    <mergeCell ref="A40:G40"/>
    <mergeCell ref="A1:C1"/>
    <mergeCell ref="H1:I1"/>
    <mergeCell ref="A2:C2"/>
    <mergeCell ref="F2:I2"/>
    <mergeCell ref="H3:I3"/>
    <mergeCell ref="H4:I4"/>
  </mergeCells>
  <pageMargins left="0.52500000000000002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51F2-0932-42FA-B2B0-67F55EF431C9}">
  <dimension ref="A1:I43"/>
  <sheetViews>
    <sheetView tabSelected="1" view="pageLayout" zoomScaleNormal="100" workbookViewId="0">
      <selection activeCell="Q9" sqref="Q9"/>
    </sheetView>
  </sheetViews>
  <sheetFormatPr defaultRowHeight="14.4" x14ac:dyDescent="0.3"/>
  <cols>
    <col min="1" max="1" width="5.33203125" style="113" customWidth="1"/>
    <col min="2" max="2" width="12" style="113" customWidth="1"/>
    <col min="3" max="3" width="14.5546875" style="61" customWidth="1"/>
    <col min="4" max="4" width="17.44140625" style="113" customWidth="1"/>
    <col min="5" max="5" width="8" customWidth="1"/>
    <col min="6" max="6" width="11.77734375" customWidth="1"/>
    <col min="7" max="7" width="6.77734375" customWidth="1"/>
    <col min="8" max="8" width="13.33203125" style="113" customWidth="1"/>
    <col min="9" max="9" width="11.21875" customWidth="1"/>
  </cols>
  <sheetData>
    <row r="1" spans="1:9" x14ac:dyDescent="0.3">
      <c r="A1" s="140" t="s">
        <v>47</v>
      </c>
      <c r="B1" s="140"/>
      <c r="C1" s="140"/>
      <c r="D1" s="96"/>
      <c r="E1" s="61"/>
      <c r="F1" s="61"/>
      <c r="G1" s="61"/>
      <c r="H1" s="141" t="s">
        <v>96</v>
      </c>
      <c r="I1" s="141"/>
    </row>
    <row r="2" spans="1:9" x14ac:dyDescent="0.3">
      <c r="A2" s="140" t="s">
        <v>16</v>
      </c>
      <c r="B2" s="140"/>
      <c r="C2" s="140"/>
      <c r="D2" s="96"/>
      <c r="E2" s="61"/>
      <c r="F2" s="139" t="s">
        <v>48</v>
      </c>
      <c r="G2" s="139"/>
      <c r="H2" s="139"/>
      <c r="I2" s="139"/>
    </row>
    <row r="3" spans="1:9" x14ac:dyDescent="0.3">
      <c r="A3" s="78"/>
      <c r="B3" s="78"/>
      <c r="C3" s="83"/>
      <c r="D3" s="83"/>
      <c r="E3" s="61"/>
      <c r="F3" s="61"/>
      <c r="G3" s="61"/>
      <c r="H3" s="141" t="s">
        <v>46</v>
      </c>
      <c r="I3" s="141"/>
    </row>
    <row r="4" spans="1:9" x14ac:dyDescent="0.3">
      <c r="A4" s="78"/>
      <c r="B4" s="78"/>
      <c r="C4" s="83"/>
      <c r="D4" s="83"/>
      <c r="E4" s="36"/>
      <c r="F4" s="36"/>
      <c r="G4" s="36"/>
      <c r="H4" s="164">
        <v>46143</v>
      </c>
      <c r="I4" s="165"/>
    </row>
    <row r="5" spans="1:9" ht="27.6" x14ac:dyDescent="0.3">
      <c r="A5" s="79" t="s">
        <v>6</v>
      </c>
      <c r="B5" s="79" t="s">
        <v>7</v>
      </c>
      <c r="C5" s="84" t="s">
        <v>8</v>
      </c>
      <c r="D5" s="49" t="s">
        <v>9</v>
      </c>
      <c r="E5" s="49" t="s">
        <v>10</v>
      </c>
      <c r="F5" s="35" t="s">
        <v>11</v>
      </c>
      <c r="G5" s="50" t="s">
        <v>12</v>
      </c>
      <c r="H5" s="84" t="s">
        <v>13</v>
      </c>
      <c r="I5" s="49" t="s">
        <v>14</v>
      </c>
    </row>
    <row r="6" spans="1:9" x14ac:dyDescent="0.3">
      <c r="A6" s="2">
        <v>1</v>
      </c>
      <c r="B6" s="97">
        <v>46143</v>
      </c>
      <c r="C6" s="51" t="s">
        <v>79</v>
      </c>
      <c r="D6" s="2" t="s">
        <v>78</v>
      </c>
      <c r="E6" s="2">
        <v>45</v>
      </c>
      <c r="F6" s="2">
        <v>45</v>
      </c>
      <c r="G6" s="2">
        <f>E6+F6</f>
        <v>90</v>
      </c>
      <c r="H6" s="2" t="s">
        <v>80</v>
      </c>
      <c r="I6" s="98"/>
    </row>
    <row r="7" spans="1:9" x14ac:dyDescent="0.3">
      <c r="A7" s="2">
        <v>2</v>
      </c>
      <c r="B7" s="97">
        <v>46144</v>
      </c>
      <c r="C7" s="51" t="s">
        <v>79</v>
      </c>
      <c r="D7" s="2" t="s">
        <v>78</v>
      </c>
      <c r="E7" s="2">
        <v>45</v>
      </c>
      <c r="F7" s="2">
        <v>45</v>
      </c>
      <c r="G7" s="2">
        <f t="shared" ref="G7:G35" si="0">E7+F7</f>
        <v>90</v>
      </c>
      <c r="H7" s="2" t="s">
        <v>80</v>
      </c>
      <c r="I7" s="98"/>
    </row>
    <row r="8" spans="1:9" x14ac:dyDescent="0.3">
      <c r="A8" s="2">
        <v>3</v>
      </c>
      <c r="B8" s="97">
        <v>46145</v>
      </c>
      <c r="C8" s="51" t="s">
        <v>79</v>
      </c>
      <c r="D8" s="2" t="s">
        <v>78</v>
      </c>
      <c r="E8" s="2">
        <v>45</v>
      </c>
      <c r="F8" s="2">
        <v>45</v>
      </c>
      <c r="G8" s="2">
        <f t="shared" si="0"/>
        <v>90</v>
      </c>
      <c r="H8" s="2" t="s">
        <v>80</v>
      </c>
      <c r="I8" s="98"/>
    </row>
    <row r="9" spans="1:9" x14ac:dyDescent="0.3">
      <c r="A9" s="59">
        <v>4</v>
      </c>
      <c r="B9" s="97">
        <v>46146</v>
      </c>
      <c r="C9" s="51" t="s">
        <v>79</v>
      </c>
      <c r="D9" s="2" t="s">
        <v>78</v>
      </c>
      <c r="E9" s="2">
        <v>45</v>
      </c>
      <c r="F9" s="2">
        <v>45</v>
      </c>
      <c r="G9" s="2">
        <f t="shared" si="0"/>
        <v>90</v>
      </c>
      <c r="H9" s="2" t="s">
        <v>80</v>
      </c>
      <c r="I9" s="98"/>
    </row>
    <row r="10" spans="1:9" x14ac:dyDescent="0.3">
      <c r="A10" s="161">
        <v>5</v>
      </c>
      <c r="B10" s="97">
        <v>46147</v>
      </c>
      <c r="C10" s="51" t="s">
        <v>79</v>
      </c>
      <c r="D10" s="2" t="s">
        <v>78</v>
      </c>
      <c r="E10" s="2">
        <v>45</v>
      </c>
      <c r="F10" s="2">
        <v>45</v>
      </c>
      <c r="G10" s="2">
        <f t="shared" si="0"/>
        <v>90</v>
      </c>
      <c r="H10" s="2" t="s">
        <v>80</v>
      </c>
      <c r="I10" s="98"/>
    </row>
    <row r="11" spans="1:9" x14ac:dyDescent="0.3">
      <c r="A11" s="2">
        <v>6</v>
      </c>
      <c r="B11" s="97">
        <v>46148</v>
      </c>
      <c r="C11" s="51" t="s">
        <v>79</v>
      </c>
      <c r="D11" s="2" t="s">
        <v>78</v>
      </c>
      <c r="E11" s="2">
        <v>45</v>
      </c>
      <c r="F11" s="2">
        <v>45</v>
      </c>
      <c r="G11" s="2">
        <f t="shared" si="0"/>
        <v>90</v>
      </c>
      <c r="H11" s="2" t="s">
        <v>80</v>
      </c>
      <c r="I11" s="98" t="s">
        <v>77</v>
      </c>
    </row>
    <row r="12" spans="1:9" x14ac:dyDescent="0.3">
      <c r="A12" s="2">
        <v>7</v>
      </c>
      <c r="B12" s="97">
        <v>46149</v>
      </c>
      <c r="C12" s="51" t="s">
        <v>79</v>
      </c>
      <c r="D12" s="2" t="s">
        <v>78</v>
      </c>
      <c r="E12" s="2">
        <v>45</v>
      </c>
      <c r="F12" s="2">
        <v>45</v>
      </c>
      <c r="G12" s="2">
        <f t="shared" si="0"/>
        <v>90</v>
      </c>
      <c r="H12" s="2" t="s">
        <v>80</v>
      </c>
      <c r="I12" s="98"/>
    </row>
    <row r="13" spans="1:9" x14ac:dyDescent="0.3">
      <c r="A13" s="2">
        <v>8</v>
      </c>
      <c r="B13" s="97">
        <v>46150</v>
      </c>
      <c r="C13" s="51" t="s">
        <v>79</v>
      </c>
      <c r="D13" s="2" t="s">
        <v>78</v>
      </c>
      <c r="E13" s="2">
        <v>45</v>
      </c>
      <c r="F13" s="2">
        <v>45</v>
      </c>
      <c r="G13" s="2">
        <f t="shared" si="0"/>
        <v>90</v>
      </c>
      <c r="H13" s="2" t="s">
        <v>80</v>
      </c>
      <c r="I13" s="98"/>
    </row>
    <row r="14" spans="1:9" x14ac:dyDescent="0.3">
      <c r="A14" s="2">
        <v>9</v>
      </c>
      <c r="B14" s="97">
        <v>46151</v>
      </c>
      <c r="C14" s="51" t="s">
        <v>79</v>
      </c>
      <c r="D14" s="2" t="s">
        <v>78</v>
      </c>
      <c r="E14" s="2">
        <v>45</v>
      </c>
      <c r="F14" s="2">
        <v>45</v>
      </c>
      <c r="G14" s="2">
        <f t="shared" si="0"/>
        <v>90</v>
      </c>
      <c r="H14" s="2" t="s">
        <v>80</v>
      </c>
      <c r="I14" s="98"/>
    </row>
    <row r="15" spans="1:9" x14ac:dyDescent="0.3">
      <c r="A15" s="9">
        <v>10</v>
      </c>
      <c r="B15" s="162">
        <v>46152</v>
      </c>
      <c r="C15" s="163" t="s">
        <v>97</v>
      </c>
      <c r="D15" s="156"/>
      <c r="E15" s="154"/>
      <c r="F15" s="154"/>
      <c r="G15" s="154"/>
      <c r="H15" s="155"/>
      <c r="I15" s="98"/>
    </row>
    <row r="16" spans="1:9" x14ac:dyDescent="0.3">
      <c r="A16" s="9">
        <v>11</v>
      </c>
      <c r="B16" s="162">
        <v>46153</v>
      </c>
      <c r="C16" s="163" t="s">
        <v>45</v>
      </c>
      <c r="D16" s="156"/>
      <c r="E16" s="154"/>
      <c r="F16" s="154"/>
      <c r="G16" s="154"/>
      <c r="H16" s="155"/>
      <c r="I16" s="98"/>
    </row>
    <row r="17" spans="1:9" x14ac:dyDescent="0.3">
      <c r="A17" s="59">
        <v>12</v>
      </c>
      <c r="B17" s="97">
        <v>46154</v>
      </c>
      <c r="C17" s="51" t="s">
        <v>99</v>
      </c>
      <c r="D17" s="51" t="s">
        <v>1</v>
      </c>
      <c r="E17" s="51">
        <v>65</v>
      </c>
      <c r="F17" s="51">
        <v>65</v>
      </c>
      <c r="G17" s="157">
        <f t="shared" si="0"/>
        <v>130</v>
      </c>
      <c r="H17" s="2" t="s">
        <v>80</v>
      </c>
      <c r="I17" s="98"/>
    </row>
    <row r="18" spans="1:9" x14ac:dyDescent="0.3">
      <c r="A18" s="2">
        <v>13</v>
      </c>
      <c r="B18" s="97">
        <v>46155</v>
      </c>
      <c r="C18" s="51" t="s">
        <v>79</v>
      </c>
      <c r="D18" s="2" t="s">
        <v>78</v>
      </c>
      <c r="E18" s="2">
        <v>45</v>
      </c>
      <c r="F18" s="2">
        <v>45</v>
      </c>
      <c r="G18" s="2">
        <f t="shared" si="0"/>
        <v>90</v>
      </c>
      <c r="H18" s="2" t="s">
        <v>80</v>
      </c>
      <c r="I18" s="98"/>
    </row>
    <row r="19" spans="1:9" x14ac:dyDescent="0.3">
      <c r="A19" s="2">
        <v>14</v>
      </c>
      <c r="B19" s="97">
        <v>46156</v>
      </c>
      <c r="C19" s="51" t="s">
        <v>79</v>
      </c>
      <c r="D19" s="2" t="s">
        <v>78</v>
      </c>
      <c r="E19" s="2">
        <v>45</v>
      </c>
      <c r="F19" s="2">
        <v>45</v>
      </c>
      <c r="G19" s="2">
        <f t="shared" si="0"/>
        <v>90</v>
      </c>
      <c r="H19" s="2" t="s">
        <v>80</v>
      </c>
      <c r="I19" s="98"/>
    </row>
    <row r="20" spans="1:9" x14ac:dyDescent="0.3">
      <c r="A20" s="2">
        <v>15</v>
      </c>
      <c r="B20" s="97">
        <v>46157</v>
      </c>
      <c r="C20" s="51" t="s">
        <v>79</v>
      </c>
      <c r="D20" s="2" t="s">
        <v>78</v>
      </c>
      <c r="E20" s="2">
        <v>45</v>
      </c>
      <c r="F20" s="2">
        <v>45</v>
      </c>
      <c r="G20" s="2">
        <f t="shared" si="0"/>
        <v>90</v>
      </c>
      <c r="H20" s="2" t="s">
        <v>80</v>
      </c>
      <c r="I20" s="98"/>
    </row>
    <row r="21" spans="1:9" x14ac:dyDescent="0.3">
      <c r="A21" s="2">
        <v>16</v>
      </c>
      <c r="B21" s="97">
        <v>46158</v>
      </c>
      <c r="C21" s="51" t="s">
        <v>79</v>
      </c>
      <c r="D21" s="2" t="s">
        <v>78</v>
      </c>
      <c r="E21" s="2">
        <v>45</v>
      </c>
      <c r="F21" s="2">
        <v>45</v>
      </c>
      <c r="G21" s="2">
        <f t="shared" si="0"/>
        <v>90</v>
      </c>
      <c r="H21" s="2" t="s">
        <v>80</v>
      </c>
      <c r="I21" s="98"/>
    </row>
    <row r="22" spans="1:9" x14ac:dyDescent="0.3">
      <c r="A22" s="9">
        <v>17</v>
      </c>
      <c r="B22" s="162">
        <v>46159</v>
      </c>
      <c r="C22" s="163" t="s">
        <v>97</v>
      </c>
      <c r="D22" s="156"/>
      <c r="E22" s="154"/>
      <c r="F22" s="154"/>
      <c r="G22" s="154"/>
      <c r="H22" s="155"/>
      <c r="I22" s="98"/>
    </row>
    <row r="23" spans="1:9" x14ac:dyDescent="0.3">
      <c r="A23" s="2">
        <v>18</v>
      </c>
      <c r="B23" s="97">
        <v>46160</v>
      </c>
      <c r="C23" s="51" t="s">
        <v>79</v>
      </c>
      <c r="D23" s="2" t="s">
        <v>78</v>
      </c>
      <c r="E23" s="2">
        <v>45</v>
      </c>
      <c r="F23" s="2">
        <v>45</v>
      </c>
      <c r="G23" s="2">
        <f t="shared" si="0"/>
        <v>90</v>
      </c>
      <c r="H23" s="2" t="s">
        <v>80</v>
      </c>
      <c r="I23" s="98"/>
    </row>
    <row r="24" spans="1:9" ht="15.6" customHeight="1" x14ac:dyDescent="0.3">
      <c r="A24" s="59">
        <v>19</v>
      </c>
      <c r="B24" s="97">
        <v>46161</v>
      </c>
      <c r="C24" s="51" t="s">
        <v>79</v>
      </c>
      <c r="D24" s="2" t="s">
        <v>78</v>
      </c>
      <c r="E24" s="2">
        <v>45</v>
      </c>
      <c r="F24" s="2">
        <v>45</v>
      </c>
      <c r="G24" s="2">
        <f t="shared" si="0"/>
        <v>90</v>
      </c>
      <c r="H24" s="2" t="s">
        <v>80</v>
      </c>
      <c r="I24" s="98"/>
    </row>
    <row r="25" spans="1:9" x14ac:dyDescent="0.3">
      <c r="A25" s="2">
        <v>20</v>
      </c>
      <c r="B25" s="97">
        <v>46162</v>
      </c>
      <c r="C25" s="51" t="s">
        <v>79</v>
      </c>
      <c r="D25" s="2" t="s">
        <v>78</v>
      </c>
      <c r="E25" s="2">
        <v>45</v>
      </c>
      <c r="F25" s="2">
        <v>45</v>
      </c>
      <c r="G25" s="2">
        <f t="shared" si="0"/>
        <v>90</v>
      </c>
      <c r="H25" s="2" t="s">
        <v>80</v>
      </c>
      <c r="I25" s="98"/>
    </row>
    <row r="26" spans="1:9" x14ac:dyDescent="0.3">
      <c r="A26" s="9">
        <v>21</v>
      </c>
      <c r="B26" s="162">
        <v>46163</v>
      </c>
      <c r="C26" s="163" t="s">
        <v>45</v>
      </c>
      <c r="D26" s="156"/>
      <c r="E26" s="154"/>
      <c r="F26" s="154"/>
      <c r="G26" s="154"/>
      <c r="H26" s="155"/>
      <c r="I26" s="98"/>
    </row>
    <row r="27" spans="1:9" x14ac:dyDescent="0.3">
      <c r="A27" s="2">
        <v>22</v>
      </c>
      <c r="B27" s="97">
        <v>46164</v>
      </c>
      <c r="C27" s="51" t="s">
        <v>79</v>
      </c>
      <c r="D27" s="2" t="s">
        <v>78</v>
      </c>
      <c r="E27" s="2">
        <v>45</v>
      </c>
      <c r="F27" s="2">
        <v>45</v>
      </c>
      <c r="G27" s="2">
        <f t="shared" si="0"/>
        <v>90</v>
      </c>
      <c r="H27" s="2" t="s">
        <v>80</v>
      </c>
      <c r="I27" s="98"/>
    </row>
    <row r="28" spans="1:9" x14ac:dyDescent="0.3">
      <c r="A28" s="2">
        <v>23</v>
      </c>
      <c r="B28" s="97">
        <v>46165</v>
      </c>
      <c r="C28" s="51" t="s">
        <v>79</v>
      </c>
      <c r="D28" s="2" t="s">
        <v>78</v>
      </c>
      <c r="E28" s="2">
        <v>45</v>
      </c>
      <c r="F28" s="2">
        <v>45</v>
      </c>
      <c r="G28" s="2">
        <f t="shared" si="0"/>
        <v>90</v>
      </c>
      <c r="H28" s="2" t="s">
        <v>80</v>
      </c>
      <c r="I28" s="98"/>
    </row>
    <row r="29" spans="1:9" x14ac:dyDescent="0.3">
      <c r="A29" s="2">
        <v>24</v>
      </c>
      <c r="B29" s="97">
        <v>46166</v>
      </c>
      <c r="C29" s="51" t="s">
        <v>79</v>
      </c>
      <c r="D29" s="2" t="s">
        <v>78</v>
      </c>
      <c r="E29" s="2">
        <v>45</v>
      </c>
      <c r="F29" s="2">
        <v>45</v>
      </c>
      <c r="G29" s="2">
        <f t="shared" si="0"/>
        <v>90</v>
      </c>
      <c r="H29" s="2" t="s">
        <v>80</v>
      </c>
      <c r="I29" s="98"/>
    </row>
    <row r="30" spans="1:9" x14ac:dyDescent="0.3">
      <c r="A30" s="2">
        <v>25</v>
      </c>
      <c r="B30" s="97">
        <v>46167</v>
      </c>
      <c r="C30" s="51" t="s">
        <v>79</v>
      </c>
      <c r="D30" s="2" t="s">
        <v>78</v>
      </c>
      <c r="E30" s="2">
        <v>45</v>
      </c>
      <c r="F30" s="2">
        <v>45</v>
      </c>
      <c r="G30" s="2">
        <f t="shared" si="0"/>
        <v>90</v>
      </c>
      <c r="H30" s="2" t="s">
        <v>80</v>
      </c>
      <c r="I30" s="98"/>
    </row>
    <row r="31" spans="1:9" x14ac:dyDescent="0.3">
      <c r="A31" s="2">
        <v>26</v>
      </c>
      <c r="B31" s="97">
        <v>46168</v>
      </c>
      <c r="C31" s="51" t="s">
        <v>79</v>
      </c>
      <c r="D31" s="2" t="s">
        <v>78</v>
      </c>
      <c r="E31" s="2">
        <v>45</v>
      </c>
      <c r="F31" s="2">
        <v>45</v>
      </c>
      <c r="G31" s="2">
        <f t="shared" si="0"/>
        <v>90</v>
      </c>
      <c r="H31" s="2" t="s">
        <v>80</v>
      </c>
      <c r="I31" s="98"/>
    </row>
    <row r="32" spans="1:9" x14ac:dyDescent="0.3">
      <c r="A32" s="2">
        <v>27</v>
      </c>
      <c r="B32" s="97">
        <v>46169</v>
      </c>
      <c r="C32" s="51" t="s">
        <v>79</v>
      </c>
      <c r="D32" s="51" t="s">
        <v>1</v>
      </c>
      <c r="E32" s="51">
        <v>65</v>
      </c>
      <c r="F32" s="51">
        <v>65</v>
      </c>
      <c r="G32" s="157">
        <f t="shared" ref="G32" si="1">E32+F32</f>
        <v>130</v>
      </c>
      <c r="H32" s="2" t="s">
        <v>80</v>
      </c>
      <c r="I32" s="98"/>
    </row>
    <row r="33" spans="1:9" x14ac:dyDescent="0.3">
      <c r="A33" s="2">
        <v>28</v>
      </c>
      <c r="B33" s="97">
        <v>46170</v>
      </c>
      <c r="C33" s="51" t="s">
        <v>79</v>
      </c>
      <c r="D33" s="51" t="s">
        <v>1</v>
      </c>
      <c r="E33" s="51">
        <v>65</v>
      </c>
      <c r="F33" s="51">
        <v>65</v>
      </c>
      <c r="G33" s="157">
        <f t="shared" ref="G33:G35" si="2">E33+F33</f>
        <v>130</v>
      </c>
      <c r="H33" s="2" t="s">
        <v>80</v>
      </c>
      <c r="I33" s="98"/>
    </row>
    <row r="34" spans="1:9" x14ac:dyDescent="0.3">
      <c r="A34" s="2">
        <v>29</v>
      </c>
      <c r="B34" s="97">
        <v>46171</v>
      </c>
      <c r="C34" s="51" t="s">
        <v>79</v>
      </c>
      <c r="D34" s="51" t="s">
        <v>1</v>
      </c>
      <c r="E34" s="51">
        <v>65</v>
      </c>
      <c r="F34" s="51">
        <v>65</v>
      </c>
      <c r="G34" s="157">
        <f t="shared" si="2"/>
        <v>130</v>
      </c>
      <c r="H34" s="2" t="s">
        <v>80</v>
      </c>
      <c r="I34" s="98"/>
    </row>
    <row r="35" spans="1:9" x14ac:dyDescent="0.3">
      <c r="A35" s="2">
        <v>30</v>
      </c>
      <c r="B35" s="97">
        <v>46172</v>
      </c>
      <c r="C35" s="51" t="s">
        <v>79</v>
      </c>
      <c r="D35" s="51" t="s">
        <v>1</v>
      </c>
      <c r="E35" s="51">
        <v>65</v>
      </c>
      <c r="F35" s="51">
        <v>65</v>
      </c>
      <c r="G35" s="157">
        <f t="shared" si="2"/>
        <v>130</v>
      </c>
      <c r="H35" s="2" t="s">
        <v>80</v>
      </c>
      <c r="I35" s="98"/>
    </row>
    <row r="36" spans="1:9" x14ac:dyDescent="0.3">
      <c r="A36" s="9">
        <v>30</v>
      </c>
      <c r="B36" s="162">
        <v>46173</v>
      </c>
      <c r="C36" s="163" t="s">
        <v>97</v>
      </c>
      <c r="D36" s="156"/>
      <c r="E36" s="154"/>
      <c r="F36" s="154"/>
      <c r="G36" s="154"/>
      <c r="H36" s="155"/>
      <c r="I36" s="98"/>
    </row>
    <row r="38" spans="1:9" x14ac:dyDescent="0.3">
      <c r="A38" s="132" t="s">
        <v>100</v>
      </c>
      <c r="B38" s="132"/>
      <c r="C38" s="132"/>
      <c r="D38" s="132"/>
      <c r="E38" s="132"/>
      <c r="F38" s="132"/>
      <c r="G38" s="160">
        <v>320</v>
      </c>
    </row>
    <row r="39" spans="1:9" x14ac:dyDescent="0.3">
      <c r="E39" s="159"/>
      <c r="F39" s="158"/>
    </row>
    <row r="40" spans="1:9" ht="15.6" x14ac:dyDescent="0.3">
      <c r="C40" s="2"/>
      <c r="D40" s="134" t="s">
        <v>17</v>
      </c>
      <c r="E40" s="135"/>
      <c r="F40" s="135"/>
      <c r="G40" s="51">
        <f>SUM(G6:G35)</f>
        <v>2540</v>
      </c>
    </row>
    <row r="41" spans="1:9" x14ac:dyDescent="0.3">
      <c r="C41" s="123" t="s">
        <v>18</v>
      </c>
      <c r="D41" s="123"/>
      <c r="E41" s="123"/>
      <c r="F41" s="123"/>
      <c r="G41" s="51">
        <v>3</v>
      </c>
    </row>
    <row r="42" spans="1:9" ht="15.6" x14ac:dyDescent="0.3">
      <c r="C42" s="123" t="s">
        <v>19</v>
      </c>
      <c r="D42" s="123"/>
      <c r="E42" s="123"/>
      <c r="F42" s="123"/>
      <c r="G42" s="58">
        <f>G40*G41+G38</f>
        <v>7940</v>
      </c>
    </row>
    <row r="43" spans="1:9" x14ac:dyDescent="0.3">
      <c r="A43" s="140" t="s">
        <v>98</v>
      </c>
      <c r="B43" s="140"/>
      <c r="C43" s="140"/>
      <c r="D43" s="140"/>
      <c r="E43" s="140"/>
      <c r="F43" s="140"/>
      <c r="G43" s="140"/>
      <c r="H43" s="140"/>
      <c r="I43" s="140"/>
    </row>
  </sheetData>
  <mergeCells count="11">
    <mergeCell ref="A38:F38"/>
    <mergeCell ref="A43:I43"/>
    <mergeCell ref="D40:F40"/>
    <mergeCell ref="C41:F41"/>
    <mergeCell ref="C42:F42"/>
    <mergeCell ref="A1:C1"/>
    <mergeCell ref="H1:I1"/>
    <mergeCell ref="A2:C2"/>
    <mergeCell ref="F2:I2"/>
    <mergeCell ref="H3:I3"/>
    <mergeCell ref="H4:I4"/>
  </mergeCells>
  <phoneticPr fontId="17" type="noConversion"/>
  <pageMargins left="0.25" right="0.25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325B-17BA-4E65-A501-C586F744A1CD}">
  <dimension ref="A1:I5"/>
  <sheetViews>
    <sheetView view="pageLayout" zoomScaleNormal="100" workbookViewId="0">
      <selection activeCell="E16" sqref="E16"/>
    </sheetView>
  </sheetViews>
  <sheetFormatPr defaultRowHeight="15.6" x14ac:dyDescent="0.3"/>
  <cols>
    <col min="1" max="1" width="5.109375" style="116" customWidth="1"/>
    <col min="2" max="2" width="14.6640625" style="116" customWidth="1"/>
    <col min="3" max="3" width="13.88671875" style="116" customWidth="1"/>
    <col min="4" max="4" width="11.88671875" style="116" customWidth="1"/>
    <col min="5" max="5" width="6.33203125" style="116" customWidth="1"/>
    <col min="6" max="6" width="9.33203125" style="116" customWidth="1"/>
    <col min="7" max="7" width="7" style="116" customWidth="1"/>
    <col min="8" max="8" width="14.77734375" style="116" customWidth="1"/>
    <col min="9" max="9" width="10.33203125" style="116" customWidth="1"/>
    <col min="10" max="16384" width="8.88671875" style="116"/>
  </cols>
  <sheetData>
    <row r="1" spans="1:9" x14ac:dyDescent="0.3">
      <c r="A1" s="149" t="s">
        <v>47</v>
      </c>
      <c r="B1" s="149"/>
      <c r="C1" s="149"/>
      <c r="D1" s="114"/>
      <c r="E1" s="115"/>
      <c r="F1" s="115"/>
      <c r="G1" s="115"/>
      <c r="H1" s="150" t="s">
        <v>96</v>
      </c>
      <c r="I1" s="150"/>
    </row>
    <row r="2" spans="1:9" x14ac:dyDescent="0.3">
      <c r="A2" s="149" t="s">
        <v>16</v>
      </c>
      <c r="B2" s="149"/>
      <c r="C2" s="149"/>
      <c r="D2" s="114"/>
      <c r="E2" s="115"/>
      <c r="F2" s="151" t="s">
        <v>95</v>
      </c>
      <c r="G2" s="151"/>
      <c r="H2" s="151"/>
      <c r="I2" s="151"/>
    </row>
    <row r="3" spans="1:9" ht="27" customHeight="1" x14ac:dyDescent="0.3">
      <c r="A3" s="115"/>
      <c r="B3" s="115"/>
      <c r="C3" s="115"/>
      <c r="D3" s="115"/>
      <c r="E3" s="115"/>
      <c r="F3" s="115"/>
      <c r="G3" s="115"/>
      <c r="H3" s="150" t="s">
        <v>46</v>
      </c>
      <c r="I3" s="150"/>
    </row>
    <row r="4" spans="1:9" x14ac:dyDescent="0.3">
      <c r="A4" s="115"/>
      <c r="B4" s="115"/>
      <c r="C4" s="115"/>
      <c r="D4" s="115"/>
      <c r="E4" s="117"/>
      <c r="F4" s="117"/>
      <c r="G4" s="117"/>
      <c r="H4" s="152">
        <v>46143</v>
      </c>
      <c r="I4" s="153"/>
    </row>
    <row r="5" spans="1:9" ht="31.2" x14ac:dyDescent="0.3">
      <c r="A5" s="118" t="s">
        <v>6</v>
      </c>
      <c r="B5" s="118" t="s">
        <v>7</v>
      </c>
      <c r="C5" s="118" t="s">
        <v>8</v>
      </c>
      <c r="D5" s="118" t="s">
        <v>9</v>
      </c>
      <c r="E5" s="118" t="s">
        <v>10</v>
      </c>
      <c r="F5" s="119" t="s">
        <v>11</v>
      </c>
      <c r="G5" s="119" t="s">
        <v>12</v>
      </c>
      <c r="H5" s="118" t="s">
        <v>13</v>
      </c>
      <c r="I5" s="118" t="s">
        <v>14</v>
      </c>
    </row>
  </sheetData>
  <mergeCells count="6">
    <mergeCell ref="H4:I4"/>
    <mergeCell ref="A1:C1"/>
    <mergeCell ref="H1:I1"/>
    <mergeCell ref="A2:C2"/>
    <mergeCell ref="F2:I2"/>
    <mergeCell ref="H3:I3"/>
  </mergeCells>
  <pageMargins left="0.38333333333333336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 JAN </vt:lpstr>
      <vt:lpstr>JAN atten</vt:lpstr>
      <vt:lpstr>feb atten</vt:lpstr>
      <vt:lpstr>Feb Exp</vt:lpstr>
      <vt:lpstr>Mar Attendance</vt:lpstr>
      <vt:lpstr> March expensive </vt:lpstr>
      <vt:lpstr>Sheet1</vt:lpstr>
      <vt:lpstr>April 26 Expensive</vt:lpstr>
      <vt:lpstr>Sheet2</vt:lpstr>
      <vt:lpstr>may 26 Expensive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kalyan</dc:creator>
  <cp:lastModifiedBy>Kalyan M</cp:lastModifiedBy>
  <cp:lastPrinted>2026-06-02T17:12:39Z</cp:lastPrinted>
  <dcterms:created xsi:type="dcterms:W3CDTF">2026-01-31T06:26:19Z</dcterms:created>
  <dcterms:modified xsi:type="dcterms:W3CDTF">2026-06-02T17:14:31Z</dcterms:modified>
</cp:coreProperties>
</file>